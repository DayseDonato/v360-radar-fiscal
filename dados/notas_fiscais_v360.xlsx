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 Fiscais" sheetId="1" state="visible" r:id="rId3"/>
    <sheet name="Resum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<sst xmlns="http://schemas.openxmlformats.org/spreadsheetml/2006/main" count="569" uniqueCount="205">
  <si>
    <t xml:space="preserve">Nº da Nota</t>
  </si>
  <si>
    <t xml:space="preserve">Unidade</t>
  </si>
  <si>
    <t xml:space="preserve">Data de Emissão</t>
  </si>
  <si>
    <t xml:space="preserve">Valor ERP (R$)</t>
  </si>
  <si>
    <t xml:space="preserve">Valor Nota Fiscal (R$)</t>
  </si>
  <si>
    <t xml:space="preserve">Diferença (R$)</t>
  </si>
  <si>
    <t xml:space="preserve">Status</t>
  </si>
  <si>
    <t xml:space="preserve">Tipo de Divergência</t>
  </si>
  <si>
    <t xml:space="preserve">Dias de Atraso</t>
  </si>
  <si>
    <t xml:space="preserve">Valor em Risco (R$)</t>
  </si>
  <si>
    <t xml:space="preserve">NF-20260616-0001</t>
  </si>
  <si>
    <t xml:space="preserve">UN Oeste</t>
  </si>
  <si>
    <t xml:space="preserve">Pendente</t>
  </si>
  <si>
    <t xml:space="preserve">NF-20260616-0002</t>
  </si>
  <si>
    <t xml:space="preserve">UN Centro</t>
  </si>
  <si>
    <t xml:space="preserve">Conciliado</t>
  </si>
  <si>
    <t xml:space="preserve">NF-20260616-0003</t>
  </si>
  <si>
    <t xml:space="preserve">Divergente</t>
  </si>
  <si>
    <t xml:space="preserve">Atraso na carga</t>
  </si>
  <si>
    <t xml:space="preserve">NF-20260616-0004</t>
  </si>
  <si>
    <t xml:space="preserve">NF-20260616-0005</t>
  </si>
  <si>
    <t xml:space="preserve">NF-20260616-0006</t>
  </si>
  <si>
    <t xml:space="preserve">UN Vale do Paraíba</t>
  </si>
  <si>
    <t xml:space="preserve">NF-20260617-0007</t>
  </si>
  <si>
    <t xml:space="preserve">UN Leste</t>
  </si>
  <si>
    <t xml:space="preserve">NF-20260617-0008</t>
  </si>
  <si>
    <t xml:space="preserve">NF-20260617-0009</t>
  </si>
  <si>
    <t xml:space="preserve">NF-20260617-0010</t>
  </si>
  <si>
    <t xml:space="preserve">Valor divergente</t>
  </si>
  <si>
    <t xml:space="preserve">NF-20260617-0011</t>
  </si>
  <si>
    <t xml:space="preserve">NF-20260618-0012</t>
  </si>
  <si>
    <t xml:space="preserve">UN Norte</t>
  </si>
  <si>
    <t xml:space="preserve">NF-20260618-0013</t>
  </si>
  <si>
    <t xml:space="preserve">NF-20260618-0014</t>
  </si>
  <si>
    <t xml:space="preserve">Nota faltante na origem</t>
  </si>
  <si>
    <t xml:space="preserve">NF-20260618-0015</t>
  </si>
  <si>
    <t xml:space="preserve">NF-20260618-0016</t>
  </si>
  <si>
    <t xml:space="preserve">UN Sul</t>
  </si>
  <si>
    <t xml:space="preserve">NF-20260618-0017</t>
  </si>
  <si>
    <t xml:space="preserve">NF-20260618-0018</t>
  </si>
  <si>
    <t xml:space="preserve">NF-20260619-0019</t>
  </si>
  <si>
    <t xml:space="preserve">NF-20260619-0020</t>
  </si>
  <si>
    <t xml:space="preserve">NF-20260619-0021</t>
  </si>
  <si>
    <t xml:space="preserve">NF-20260619-0022</t>
  </si>
  <si>
    <t xml:space="preserve">NF-20260620-0023</t>
  </si>
  <si>
    <t xml:space="preserve">NF-20260620-0024</t>
  </si>
  <si>
    <t xml:space="preserve">NF-20260620-0025</t>
  </si>
  <si>
    <t xml:space="preserve">NF-20260620-0026</t>
  </si>
  <si>
    <t xml:space="preserve">NF-20260621-0027</t>
  </si>
  <si>
    <t xml:space="preserve">NF-20260621-0028</t>
  </si>
  <si>
    <t xml:space="preserve">NF-20260621-0029</t>
  </si>
  <si>
    <t xml:space="preserve">NF-20260621-0030</t>
  </si>
  <si>
    <t xml:space="preserve">NF-20260621-0031</t>
  </si>
  <si>
    <t xml:space="preserve">NF-20260622-0032</t>
  </si>
  <si>
    <t xml:space="preserve">Nota duplicada</t>
  </si>
  <si>
    <t xml:space="preserve">NF-20260622-0033</t>
  </si>
  <si>
    <t xml:space="preserve">NF-20260622-0034</t>
  </si>
  <si>
    <t xml:space="preserve">NF-20260622-0035</t>
  </si>
  <si>
    <t xml:space="preserve">NF-20260622-0036</t>
  </si>
  <si>
    <t xml:space="preserve">NF-20260622-0037</t>
  </si>
  <si>
    <t xml:space="preserve">NF-20260622-0038</t>
  </si>
  <si>
    <t xml:space="preserve">NF-20260623-0039</t>
  </si>
  <si>
    <t xml:space="preserve">NF-20260623-0040</t>
  </si>
  <si>
    <t xml:space="preserve">NF-20260623-0041</t>
  </si>
  <si>
    <t xml:space="preserve">NF-20260623-0042</t>
  </si>
  <si>
    <t xml:space="preserve">NF-20260623-0043</t>
  </si>
  <si>
    <t xml:space="preserve">NF-20260623-0044</t>
  </si>
  <si>
    <t xml:space="preserve">NF-20260623-0045</t>
  </si>
  <si>
    <t xml:space="preserve">NF-20260624-0046</t>
  </si>
  <si>
    <t xml:space="preserve">NF-20260624-0047</t>
  </si>
  <si>
    <t xml:space="preserve">NF-20260624-0048</t>
  </si>
  <si>
    <t xml:space="preserve">NF-20260624-0049</t>
  </si>
  <si>
    <t xml:space="preserve">NF-20260625-0050</t>
  </si>
  <si>
    <t xml:space="preserve">NF-20260625-0051</t>
  </si>
  <si>
    <t xml:space="preserve">NF-20260625-0052</t>
  </si>
  <si>
    <t xml:space="preserve">NF-20260625-0053</t>
  </si>
  <si>
    <t xml:space="preserve">NF-20260625-0054</t>
  </si>
  <si>
    <t xml:space="preserve">NF-20260625-0055</t>
  </si>
  <si>
    <t xml:space="preserve">NF-20260625-0056</t>
  </si>
  <si>
    <t xml:space="preserve">NF-20260625-0057</t>
  </si>
  <si>
    <t xml:space="preserve">NF-20260626-0058</t>
  </si>
  <si>
    <t xml:space="preserve">NF-20260626-0059</t>
  </si>
  <si>
    <t xml:space="preserve">NF-20260626-0060</t>
  </si>
  <si>
    <t xml:space="preserve">NF-20260626-0061</t>
  </si>
  <si>
    <t xml:space="preserve">NF-20260626-0062</t>
  </si>
  <si>
    <t xml:space="preserve">NF-20260626-0063</t>
  </si>
  <si>
    <t xml:space="preserve">NF-20260626-0064</t>
  </si>
  <si>
    <t xml:space="preserve">NF-20260627-0065</t>
  </si>
  <si>
    <t xml:space="preserve">NF-20260627-0066</t>
  </si>
  <si>
    <t xml:space="preserve">NF-20260627-0067</t>
  </si>
  <si>
    <t xml:space="preserve">NF-20260627-0068</t>
  </si>
  <si>
    <t xml:space="preserve">NF-20260627-0069</t>
  </si>
  <si>
    <t xml:space="preserve">NF-20260627-0070</t>
  </si>
  <si>
    <t xml:space="preserve">NF-20260628-0071</t>
  </si>
  <si>
    <t xml:space="preserve">NF-20260628-0072</t>
  </si>
  <si>
    <t xml:space="preserve">NF-20260628-0073</t>
  </si>
  <si>
    <t xml:space="preserve">NF-20260628-0074</t>
  </si>
  <si>
    <t xml:space="preserve">NF-20260629-0075</t>
  </si>
  <si>
    <t xml:space="preserve">NF-20260629-0076</t>
  </si>
  <si>
    <t xml:space="preserve">NF-20260629-0077</t>
  </si>
  <si>
    <t xml:space="preserve">NF-20260629-0078</t>
  </si>
  <si>
    <t xml:space="preserve">NF-20260630-0079</t>
  </si>
  <si>
    <t xml:space="preserve">NF-20260630-0080</t>
  </si>
  <si>
    <t xml:space="preserve">NF-20260630-0081</t>
  </si>
  <si>
    <t xml:space="preserve">NF-20260630-0082</t>
  </si>
  <si>
    <t xml:space="preserve">NF-20260701-0083</t>
  </si>
  <si>
    <t xml:space="preserve">NF-20260701-0084</t>
  </si>
  <si>
    <t xml:space="preserve">NF-20260701-0085</t>
  </si>
  <si>
    <t xml:space="preserve">NF-20260701-0086</t>
  </si>
  <si>
    <t xml:space="preserve">NF-20260701-0087</t>
  </si>
  <si>
    <t xml:space="preserve">NF-20260702-0088</t>
  </si>
  <si>
    <t xml:space="preserve">NF-20260702-0089</t>
  </si>
  <si>
    <t xml:space="preserve">NF-20260702-0090</t>
  </si>
  <si>
    <t xml:space="preserve">NF-20260702-0091</t>
  </si>
  <si>
    <t xml:space="preserve">NF-20260703-0092</t>
  </si>
  <si>
    <t xml:space="preserve">NF-20260703-0093</t>
  </si>
  <si>
    <t xml:space="preserve">NF-20260703-0094</t>
  </si>
  <si>
    <t xml:space="preserve">NF-20260703-0095</t>
  </si>
  <si>
    <t xml:space="preserve">NF-20260703-0096</t>
  </si>
  <si>
    <t xml:space="preserve">NF-20260703-0097</t>
  </si>
  <si>
    <t xml:space="preserve">NF-20260703-0098</t>
  </si>
  <si>
    <t xml:space="preserve">NF-20260703-0099</t>
  </si>
  <si>
    <t xml:space="preserve">NF-20260704-0100</t>
  </si>
  <si>
    <t xml:space="preserve">NF-20260704-0101</t>
  </si>
  <si>
    <t xml:space="preserve">NF-20260704-0102</t>
  </si>
  <si>
    <t xml:space="preserve">NF-20260704-0103</t>
  </si>
  <si>
    <t xml:space="preserve">NF-20260704-0104</t>
  </si>
  <si>
    <t xml:space="preserve">NF-20260705-0105</t>
  </si>
  <si>
    <t xml:space="preserve">NF-20260705-0106</t>
  </si>
  <si>
    <t xml:space="preserve">NF-20260705-0107</t>
  </si>
  <si>
    <t xml:space="preserve">NF-20260705-0108</t>
  </si>
  <si>
    <t xml:space="preserve">NF-20260705-0109</t>
  </si>
  <si>
    <t xml:space="preserve">NF-20260705-0110</t>
  </si>
  <si>
    <t xml:space="preserve">NF-20260706-0111</t>
  </si>
  <si>
    <t xml:space="preserve">NF-20260706-0112</t>
  </si>
  <si>
    <t xml:space="preserve">NF-20260706-0113</t>
  </si>
  <si>
    <t xml:space="preserve">NF-20260706-0114</t>
  </si>
  <si>
    <t xml:space="preserve">NF-20260706-0115</t>
  </si>
  <si>
    <t xml:space="preserve">NF-20260706-0116</t>
  </si>
  <si>
    <t xml:space="preserve">NF-20260706-0117</t>
  </si>
  <si>
    <t xml:space="preserve">NF-20260707-0118</t>
  </si>
  <si>
    <t xml:space="preserve">NF-20260707-0119</t>
  </si>
  <si>
    <t xml:space="preserve">NF-20260707-0120</t>
  </si>
  <si>
    <t xml:space="preserve">NF-20260707-0121</t>
  </si>
  <si>
    <t xml:space="preserve">NF-20260707-0122</t>
  </si>
  <si>
    <t xml:space="preserve">NF-20260707-0123</t>
  </si>
  <si>
    <t xml:space="preserve">NF-20260708-0124</t>
  </si>
  <si>
    <t xml:space="preserve">NF-20260708-0125</t>
  </si>
  <si>
    <t xml:space="preserve">NF-20260708-0126</t>
  </si>
  <si>
    <t xml:space="preserve">NF-20260708-0127</t>
  </si>
  <si>
    <t xml:space="preserve">NF-20260708-0128</t>
  </si>
  <si>
    <t xml:space="preserve">NF-20260708-0129</t>
  </si>
  <si>
    <t xml:space="preserve">NF-20260708-0130</t>
  </si>
  <si>
    <t xml:space="preserve">NF-20260709-0131</t>
  </si>
  <si>
    <t xml:space="preserve">NF-20260709-0132</t>
  </si>
  <si>
    <t xml:space="preserve">NF-20260709-0133</t>
  </si>
  <si>
    <t xml:space="preserve">NF-20260709-0134</t>
  </si>
  <si>
    <t xml:space="preserve">NF-20260709-0135</t>
  </si>
  <si>
    <t xml:space="preserve">NF-20260709-0136</t>
  </si>
  <si>
    <t xml:space="preserve">NF-20260709-0137</t>
  </si>
  <si>
    <t xml:space="preserve">NF-20260710-0138</t>
  </si>
  <si>
    <t xml:space="preserve">NF-20260710-0139</t>
  </si>
  <si>
    <t xml:space="preserve">NF-20260710-0140</t>
  </si>
  <si>
    <t xml:space="preserve">NF-20260710-0141</t>
  </si>
  <si>
    <t xml:space="preserve">NF-20260710-0142</t>
  </si>
  <si>
    <t xml:space="preserve">NF-20260711-0143</t>
  </si>
  <si>
    <t xml:space="preserve">NF-20260711-0144</t>
  </si>
  <si>
    <t xml:space="preserve">NF-20260711-0145</t>
  </si>
  <si>
    <t xml:space="preserve">NF-20260711-0146</t>
  </si>
  <si>
    <t xml:space="preserve">NF-20260711-0147</t>
  </si>
  <si>
    <t xml:space="preserve">NF-20260711-0148</t>
  </si>
  <si>
    <t xml:space="preserve">NF-20260711-0149</t>
  </si>
  <si>
    <t xml:space="preserve">NF-20260711-0150</t>
  </si>
  <si>
    <t xml:space="preserve">NF-20260712-0151</t>
  </si>
  <si>
    <t xml:space="preserve">NF-20260712-0152</t>
  </si>
  <si>
    <t xml:space="preserve">NF-20260712-0153</t>
  </si>
  <si>
    <t xml:space="preserve">NF-20260712-0154</t>
  </si>
  <si>
    <t xml:space="preserve">NF-20260712-0155</t>
  </si>
  <si>
    <t xml:space="preserve">NF-20260713-0156</t>
  </si>
  <si>
    <t xml:space="preserve">NF-20260713-0157</t>
  </si>
  <si>
    <t xml:space="preserve">NF-20260713-0158</t>
  </si>
  <si>
    <t xml:space="preserve">NF-20260713-0159</t>
  </si>
  <si>
    <t xml:space="preserve">NF-20260713-0160</t>
  </si>
  <si>
    <t xml:space="preserve">NF-20260713-0161</t>
  </si>
  <si>
    <t xml:space="preserve">NF-20260713-0162</t>
  </si>
  <si>
    <t xml:space="preserve">NF-20260713-0163</t>
  </si>
  <si>
    <t xml:space="preserve">NF-20260714-0164</t>
  </si>
  <si>
    <t xml:space="preserve">NF-20260714-0165</t>
  </si>
  <si>
    <t xml:space="preserve">NF-20260714-0166</t>
  </si>
  <si>
    <t xml:space="preserve">NF-20260714-0167</t>
  </si>
  <si>
    <t xml:space="preserve">NF-20260714-0168</t>
  </si>
  <si>
    <t xml:space="preserve">NF-20260714-0169</t>
  </si>
  <si>
    <t xml:space="preserve">NF-20260715-0170</t>
  </si>
  <si>
    <t xml:space="preserve">NF-20260715-0171</t>
  </si>
  <si>
    <t xml:space="preserve">NF-20260715-0172</t>
  </si>
  <si>
    <t xml:space="preserve">NF-20260715-0173</t>
  </si>
  <si>
    <t xml:space="preserve">Resumo · V360 Radar Fiscal</t>
  </si>
  <si>
    <t xml:space="preserve">Total de Notas (30 dias)</t>
  </si>
  <si>
    <t xml:space="preserve">Notas Conciliadas</t>
  </si>
  <si>
    <t xml:space="preserve">Notas Divergentes</t>
  </si>
  <si>
    <t xml:space="preserve">Notas Pendentes</t>
  </si>
  <si>
    <t xml:space="preserve">Taxa de Conciliação</t>
  </si>
  <si>
    <t xml:space="preserve">Valor Total em Risco (R$)</t>
  </si>
  <si>
    <t xml:space="preserve">Dias de Atraso (média p/ notas atrasadas)</t>
  </si>
  <si>
    <t xml:space="preserve">Dados simulados para prototipagem de dashboard (Power BI). Gerado automaticamente.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</si>
</sst>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&quot;R$ &quot;#,##0.00"/>
    <numFmt numFmtId="167" formatCode="&quot;R$ &quot;#,##0.00;[RED]&quot;-R$ &quot;#,##0.00"/>
    <numFmt numFmtId="168" formatCode="0"/>
    <numFmt numFmtId="169" formatCode="0.0%"/>
    <numFmt numFmtId="170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NotasFiscais" displayName="NotasFiscais" ref="A1:J174" headerRowCount="1" totalsRowCount="0" totalsRowShown="0">
  <autoFilter ref="A1:J174"/>
  <tableColumns count="10">
    <tableColumn id="1" name="Nº da Nota"/>
    <tableColumn id="2" name="Unidade"/>
    <tableColumn id="3" name="Data de Emissão"/>
    <tableColumn id="4" name="Valor ERP (R$)"/>
    <tableColumn id="5" name="Valor Nota Fiscal (R$)"/>
    <tableColumn id="6" name="Diferença (R$)"/>
    <tableColumn id="7" name="Status"/>
    <tableColumn id="8" name="Tipo de Divergência"/>
    <tableColumn id="9" name="Dias de Atraso"/>
    <tableColumn id="10" name="Valor em Risco (R$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3" t="n">
        <v>46189</v>
      </c>
      <c r="D2" s="4" t="n">
        <v>207670.57</v>
      </c>
      <c r="E2" s="4"/>
      <c r="F2" s="5" t="str">
        <f aca="false">IF(E2="","",E2-D2)</f>
        <v/>
      </c>
      <c r="G2" s="2" t="s">
        <v>12</v>
      </c>
      <c r="H2" s="2"/>
      <c r="I2" s="2" t="n">
        <v>0</v>
      </c>
      <c r="J2" s="4" t="n">
        <f aca="false">IF(G2="Divergente",ABS(F2),0)</f>
        <v>0</v>
      </c>
    </row>
    <row r="3" customFormat="false" ht="15" hidden="false" customHeight="false" outlineLevel="0" collapsed="false">
      <c r="A3" s="2" t="s">
        <v>13</v>
      </c>
      <c r="B3" s="2" t="s">
        <v>14</v>
      </c>
      <c r="C3" s="3" t="n">
        <v>46189</v>
      </c>
      <c r="D3" s="4" t="n">
        <v>72358.52</v>
      </c>
      <c r="E3" s="4" t="n">
        <v>72358.52</v>
      </c>
      <c r="F3" s="5" t="n">
        <f aca="false">IF(E3="","",E3-D3)</f>
        <v>0</v>
      </c>
      <c r="G3" s="2" t="s">
        <v>15</v>
      </c>
      <c r="H3" s="2"/>
      <c r="I3" s="2" t="n">
        <v>0</v>
      </c>
      <c r="J3" s="4" t="n">
        <f aca="false">IF(G3="Divergente",ABS(F3),0)</f>
        <v>0</v>
      </c>
    </row>
    <row r="4" customFormat="false" ht="15" hidden="false" customHeight="false" outlineLevel="0" collapsed="false">
      <c r="A4" s="2" t="s">
        <v>16</v>
      </c>
      <c r="B4" s="2" t="s">
        <v>14</v>
      </c>
      <c r="C4" s="3" t="n">
        <v>46189</v>
      </c>
      <c r="D4" s="4" t="n">
        <v>126614.18</v>
      </c>
      <c r="E4" s="4" t="n">
        <v>126614.18</v>
      </c>
      <c r="F4" s="5" t="n">
        <f aca="false">IF(E4="","",E4-D4)</f>
        <v>0</v>
      </c>
      <c r="G4" s="2" t="s">
        <v>17</v>
      </c>
      <c r="H4" s="2" t="s">
        <v>18</v>
      </c>
      <c r="I4" s="2" t="n">
        <v>2</v>
      </c>
      <c r="J4" s="4" t="n">
        <f aca="false">IF(G4="Divergente",ABS(F4),0)</f>
        <v>0</v>
      </c>
    </row>
    <row r="5" customFormat="false" ht="15" hidden="false" customHeight="false" outlineLevel="0" collapsed="false">
      <c r="A5" s="2" t="s">
        <v>19</v>
      </c>
      <c r="B5" s="2" t="s">
        <v>11</v>
      </c>
      <c r="C5" s="3" t="n">
        <v>46189</v>
      </c>
      <c r="D5" s="4" t="n">
        <v>70820.86</v>
      </c>
      <c r="E5" s="4" t="n">
        <v>70820.86</v>
      </c>
      <c r="F5" s="5" t="n">
        <f aca="false">IF(E5="","",E5-D5)</f>
        <v>0</v>
      </c>
      <c r="G5" s="2" t="s">
        <v>15</v>
      </c>
      <c r="H5" s="2"/>
      <c r="I5" s="2" t="n">
        <v>0</v>
      </c>
      <c r="J5" s="4" t="n">
        <f aca="false">IF(G5="Divergente",ABS(F5),0)</f>
        <v>0</v>
      </c>
    </row>
    <row r="6" customFormat="false" ht="15" hidden="false" customHeight="false" outlineLevel="0" collapsed="false">
      <c r="A6" s="2" t="s">
        <v>20</v>
      </c>
      <c r="B6" s="2" t="s">
        <v>14</v>
      </c>
      <c r="C6" s="3" t="n">
        <v>46189</v>
      </c>
      <c r="D6" s="4" t="n">
        <v>85710.88</v>
      </c>
      <c r="E6" s="4" t="n">
        <v>85710.88</v>
      </c>
      <c r="F6" s="5" t="n">
        <f aca="false">IF(E6="","",E6-D6)</f>
        <v>0</v>
      </c>
      <c r="G6" s="2" t="s">
        <v>15</v>
      </c>
      <c r="H6" s="2"/>
      <c r="I6" s="2" t="n">
        <v>0</v>
      </c>
      <c r="J6" s="4" t="n">
        <f aca="false">IF(G6="Divergente",ABS(F6),0)</f>
        <v>0</v>
      </c>
    </row>
    <row r="7" customFormat="false" ht="15" hidden="false" customHeight="false" outlineLevel="0" collapsed="false">
      <c r="A7" s="2" t="s">
        <v>21</v>
      </c>
      <c r="B7" s="2" t="s">
        <v>22</v>
      </c>
      <c r="C7" s="3" t="n">
        <v>46189</v>
      </c>
      <c r="D7" s="4" t="n">
        <v>292348.61</v>
      </c>
      <c r="E7" s="4" t="n">
        <v>292348.61</v>
      </c>
      <c r="F7" s="5" t="n">
        <f aca="false">IF(E7="","",E7-D7)</f>
        <v>0</v>
      </c>
      <c r="G7" s="2" t="s">
        <v>17</v>
      </c>
      <c r="H7" s="2" t="s">
        <v>18</v>
      </c>
      <c r="I7" s="2" t="n">
        <v>2</v>
      </c>
      <c r="J7" s="4" t="n">
        <f aca="false">IF(G7="Divergente",ABS(F7),0)</f>
        <v>0</v>
      </c>
    </row>
    <row r="8" customFormat="false" ht="15" hidden="false" customHeight="false" outlineLevel="0" collapsed="false">
      <c r="A8" s="2" t="s">
        <v>23</v>
      </c>
      <c r="B8" s="2" t="s">
        <v>24</v>
      </c>
      <c r="C8" s="3" t="n">
        <v>46190</v>
      </c>
      <c r="D8" s="4" t="n">
        <v>280499.2</v>
      </c>
      <c r="E8" s="4" t="n">
        <v>280499.2</v>
      </c>
      <c r="F8" s="5" t="n">
        <f aca="false">IF(E8="","",E8-D8)</f>
        <v>0</v>
      </c>
      <c r="G8" s="2" t="s">
        <v>17</v>
      </c>
      <c r="H8" s="2" t="s">
        <v>18</v>
      </c>
      <c r="I8" s="2" t="n">
        <v>3</v>
      </c>
      <c r="J8" s="4" t="n">
        <f aca="false">IF(G8="Divergente",ABS(F8),0)</f>
        <v>0</v>
      </c>
    </row>
    <row r="9" customFormat="false" ht="15" hidden="false" customHeight="false" outlineLevel="0" collapsed="false">
      <c r="A9" s="2" t="s">
        <v>25</v>
      </c>
      <c r="B9" s="2" t="s">
        <v>14</v>
      </c>
      <c r="C9" s="3" t="n">
        <v>46190</v>
      </c>
      <c r="D9" s="4" t="n">
        <v>83006.51</v>
      </c>
      <c r="E9" s="4" t="n">
        <v>83006.51</v>
      </c>
      <c r="F9" s="5" t="n">
        <f aca="false">IF(E9="","",E9-D9)</f>
        <v>0</v>
      </c>
      <c r="G9" s="2" t="s">
        <v>15</v>
      </c>
      <c r="H9" s="2"/>
      <c r="I9" s="2" t="n">
        <v>0</v>
      </c>
      <c r="J9" s="4" t="n">
        <f aca="false">IF(G9="Divergente",ABS(F9),0)</f>
        <v>0</v>
      </c>
    </row>
    <row r="10" customFormat="false" ht="15" hidden="false" customHeight="false" outlineLevel="0" collapsed="false">
      <c r="A10" s="2" t="s">
        <v>26</v>
      </c>
      <c r="B10" s="2" t="s">
        <v>22</v>
      </c>
      <c r="C10" s="3" t="n">
        <v>46190</v>
      </c>
      <c r="D10" s="4" t="n">
        <v>111326.87</v>
      </c>
      <c r="E10" s="4" t="n">
        <v>111326.87</v>
      </c>
      <c r="F10" s="5" t="n">
        <f aca="false">IF(E10="","",E10-D10)</f>
        <v>0</v>
      </c>
      <c r="G10" s="2" t="s">
        <v>15</v>
      </c>
      <c r="H10" s="2"/>
      <c r="I10" s="2" t="n">
        <v>0</v>
      </c>
      <c r="J10" s="4" t="n">
        <f aca="false">IF(G10="Divergente",ABS(F10),0)</f>
        <v>0</v>
      </c>
    </row>
    <row r="11" customFormat="false" ht="15" hidden="false" customHeight="false" outlineLevel="0" collapsed="false">
      <c r="A11" s="2" t="s">
        <v>27</v>
      </c>
      <c r="B11" s="2" t="s">
        <v>22</v>
      </c>
      <c r="C11" s="3" t="n">
        <v>46190</v>
      </c>
      <c r="D11" s="4" t="n">
        <v>114541.96</v>
      </c>
      <c r="E11" s="4" t="n">
        <v>117978.22</v>
      </c>
      <c r="F11" s="5" t="n">
        <f aca="false">IF(E11="","",E11-D11)</f>
        <v>3436.25999999999</v>
      </c>
      <c r="G11" s="2" t="s">
        <v>17</v>
      </c>
      <c r="H11" s="2" t="s">
        <v>28</v>
      </c>
      <c r="I11" s="2" t="n">
        <v>0</v>
      </c>
      <c r="J11" s="4" t="n">
        <f aca="false">IF(G11="Divergente",ABS(F11),0)</f>
        <v>3436.25999999999</v>
      </c>
    </row>
    <row r="12" customFormat="false" ht="15" hidden="false" customHeight="false" outlineLevel="0" collapsed="false">
      <c r="A12" s="2" t="s">
        <v>29</v>
      </c>
      <c r="B12" s="2" t="s">
        <v>14</v>
      </c>
      <c r="C12" s="3" t="n">
        <v>46190</v>
      </c>
      <c r="D12" s="4" t="n">
        <v>122681.42</v>
      </c>
      <c r="E12" s="4" t="n">
        <v>122681.42</v>
      </c>
      <c r="F12" s="5" t="n">
        <f aca="false">IF(E12="","",E12-D12)</f>
        <v>0</v>
      </c>
      <c r="G12" s="2" t="s">
        <v>15</v>
      </c>
      <c r="H12" s="2"/>
      <c r="I12" s="2" t="n">
        <v>0</v>
      </c>
      <c r="J12" s="4" t="n">
        <f aca="false">IF(G12="Divergente",ABS(F12),0)</f>
        <v>0</v>
      </c>
    </row>
    <row r="13" customFormat="false" ht="15" hidden="false" customHeight="false" outlineLevel="0" collapsed="false">
      <c r="A13" s="2" t="s">
        <v>30</v>
      </c>
      <c r="B13" s="2" t="s">
        <v>31</v>
      </c>
      <c r="C13" s="3" t="n">
        <v>46191</v>
      </c>
      <c r="D13" s="4" t="n">
        <v>239520.84</v>
      </c>
      <c r="E13" s="4" t="n">
        <v>239520.84</v>
      </c>
      <c r="F13" s="5" t="n">
        <f aca="false">IF(E13="","",E13-D13)</f>
        <v>0</v>
      </c>
      <c r="G13" s="2" t="s">
        <v>15</v>
      </c>
      <c r="H13" s="2"/>
      <c r="I13" s="2" t="n">
        <v>0</v>
      </c>
      <c r="J13" s="4" t="n">
        <f aca="false">IF(G13="Divergente",ABS(F13),0)</f>
        <v>0</v>
      </c>
    </row>
    <row r="14" customFormat="false" ht="15" hidden="false" customHeight="false" outlineLevel="0" collapsed="false">
      <c r="A14" s="2" t="s">
        <v>32</v>
      </c>
      <c r="B14" s="2" t="s">
        <v>31</v>
      </c>
      <c r="C14" s="3" t="n">
        <v>46191</v>
      </c>
      <c r="D14" s="4" t="n">
        <v>164895.15</v>
      </c>
      <c r="E14" s="4" t="n">
        <v>164895.15</v>
      </c>
      <c r="F14" s="5" t="n">
        <f aca="false">IF(E14="","",E14-D14)</f>
        <v>0</v>
      </c>
      <c r="G14" s="2" t="s">
        <v>15</v>
      </c>
      <c r="H14" s="2"/>
      <c r="I14" s="2" t="n">
        <v>0</v>
      </c>
      <c r="J14" s="4" t="n">
        <f aca="false">IF(G14="Divergente",ABS(F14),0)</f>
        <v>0</v>
      </c>
    </row>
    <row r="15" customFormat="false" ht="15" hidden="false" customHeight="false" outlineLevel="0" collapsed="false">
      <c r="A15" s="2" t="s">
        <v>33</v>
      </c>
      <c r="B15" s="2" t="s">
        <v>22</v>
      </c>
      <c r="C15" s="3" t="n">
        <v>46191</v>
      </c>
      <c r="D15" s="4" t="n">
        <v>0</v>
      </c>
      <c r="E15" s="4" t="n">
        <v>380923.33</v>
      </c>
      <c r="F15" s="5" t="n">
        <f aca="false">IF(E15="","",E15-D15)</f>
        <v>380923.33</v>
      </c>
      <c r="G15" s="2" t="s">
        <v>17</v>
      </c>
      <c r="H15" s="2" t="s">
        <v>34</v>
      </c>
      <c r="I15" s="2" t="n">
        <v>0</v>
      </c>
      <c r="J15" s="4" t="n">
        <f aca="false">IF(G15="Divergente",ABS(F15),0)</f>
        <v>380923.33</v>
      </c>
    </row>
    <row r="16" customFormat="false" ht="15" hidden="false" customHeight="false" outlineLevel="0" collapsed="false">
      <c r="A16" s="2" t="s">
        <v>35</v>
      </c>
      <c r="B16" s="2" t="s">
        <v>14</v>
      </c>
      <c r="C16" s="3" t="n">
        <v>46191</v>
      </c>
      <c r="D16" s="4" t="n">
        <v>252802.36</v>
      </c>
      <c r="E16" s="4" t="n">
        <v>252802.36</v>
      </c>
      <c r="F16" s="5" t="n">
        <f aca="false">IF(E16="","",E16-D16)</f>
        <v>0</v>
      </c>
      <c r="G16" s="2" t="s">
        <v>15</v>
      </c>
      <c r="H16" s="2"/>
      <c r="I16" s="2" t="n">
        <v>0</v>
      </c>
      <c r="J16" s="4" t="n">
        <f aca="false">IF(G16="Divergente",ABS(F16),0)</f>
        <v>0</v>
      </c>
    </row>
    <row r="17" customFormat="false" ht="15" hidden="false" customHeight="false" outlineLevel="0" collapsed="false">
      <c r="A17" s="2" t="s">
        <v>36</v>
      </c>
      <c r="B17" s="2" t="s">
        <v>37</v>
      </c>
      <c r="C17" s="3" t="n">
        <v>46191</v>
      </c>
      <c r="D17" s="4" t="n">
        <v>159571.99</v>
      </c>
      <c r="E17" s="4" t="n">
        <v>159571.99</v>
      </c>
      <c r="F17" s="5" t="n">
        <f aca="false">IF(E17="","",E17-D17)</f>
        <v>0</v>
      </c>
      <c r="G17" s="2" t="s">
        <v>15</v>
      </c>
      <c r="H17" s="2"/>
      <c r="I17" s="2" t="n">
        <v>0</v>
      </c>
      <c r="J17" s="4" t="n">
        <f aca="false">IF(G17="Divergente",ABS(F17),0)</f>
        <v>0</v>
      </c>
    </row>
    <row r="18" customFormat="false" ht="15" hidden="false" customHeight="false" outlineLevel="0" collapsed="false">
      <c r="A18" s="2" t="s">
        <v>38</v>
      </c>
      <c r="B18" s="2" t="s">
        <v>24</v>
      </c>
      <c r="C18" s="3" t="n">
        <v>46191</v>
      </c>
      <c r="D18" s="4" t="n">
        <v>0</v>
      </c>
      <c r="E18" s="4" t="n">
        <v>260369.77</v>
      </c>
      <c r="F18" s="5" t="n">
        <f aca="false">IF(E18="","",E18-D18)</f>
        <v>260369.77</v>
      </c>
      <c r="G18" s="2" t="s">
        <v>17</v>
      </c>
      <c r="H18" s="2" t="s">
        <v>34</v>
      </c>
      <c r="I18" s="2" t="n">
        <v>0</v>
      </c>
      <c r="J18" s="4" t="n">
        <f aca="false">IF(G18="Divergente",ABS(F18),0)</f>
        <v>260369.77</v>
      </c>
    </row>
    <row r="19" customFormat="false" ht="15" hidden="false" customHeight="false" outlineLevel="0" collapsed="false">
      <c r="A19" s="2" t="s">
        <v>39</v>
      </c>
      <c r="B19" s="2" t="s">
        <v>11</v>
      </c>
      <c r="C19" s="3" t="n">
        <v>46191</v>
      </c>
      <c r="D19" s="4" t="n">
        <v>449971.6</v>
      </c>
      <c r="E19" s="4" t="n">
        <v>449971.6</v>
      </c>
      <c r="F19" s="5" t="n">
        <f aca="false">IF(E19="","",E19-D19)</f>
        <v>0</v>
      </c>
      <c r="G19" s="2" t="s">
        <v>15</v>
      </c>
      <c r="H19" s="2"/>
      <c r="I19" s="2" t="n">
        <v>0</v>
      </c>
      <c r="J19" s="4" t="n">
        <f aca="false">IF(G19="Divergente",ABS(F19),0)</f>
        <v>0</v>
      </c>
    </row>
    <row r="20" customFormat="false" ht="15" hidden="false" customHeight="false" outlineLevel="0" collapsed="false">
      <c r="A20" s="2" t="s">
        <v>40</v>
      </c>
      <c r="B20" s="2" t="s">
        <v>14</v>
      </c>
      <c r="C20" s="3" t="n">
        <v>46192</v>
      </c>
      <c r="D20" s="4" t="n">
        <v>287861.67</v>
      </c>
      <c r="E20" s="4" t="n">
        <v>287861.67</v>
      </c>
      <c r="F20" s="5" t="n">
        <f aca="false">IF(E20="","",E20-D20)</f>
        <v>0</v>
      </c>
      <c r="G20" s="2" t="s">
        <v>15</v>
      </c>
      <c r="H20" s="2"/>
      <c r="I20" s="2" t="n">
        <v>0</v>
      </c>
      <c r="J20" s="4" t="n">
        <f aca="false">IF(G20="Divergente",ABS(F20),0)</f>
        <v>0</v>
      </c>
    </row>
    <row r="21" customFormat="false" ht="15" hidden="false" customHeight="false" outlineLevel="0" collapsed="false">
      <c r="A21" s="2" t="s">
        <v>41</v>
      </c>
      <c r="B21" s="2" t="s">
        <v>31</v>
      </c>
      <c r="C21" s="3" t="n">
        <v>46192</v>
      </c>
      <c r="D21" s="4" t="n">
        <v>183055.06</v>
      </c>
      <c r="E21" s="4" t="n">
        <v>183055.06</v>
      </c>
      <c r="F21" s="5" t="n">
        <f aca="false">IF(E21="","",E21-D21)</f>
        <v>0</v>
      </c>
      <c r="G21" s="2" t="s">
        <v>15</v>
      </c>
      <c r="H21" s="2"/>
      <c r="I21" s="2" t="n">
        <v>0</v>
      </c>
      <c r="J21" s="4" t="n">
        <f aca="false">IF(G21="Divergente",ABS(F21),0)</f>
        <v>0</v>
      </c>
    </row>
    <row r="22" customFormat="false" ht="15" hidden="false" customHeight="false" outlineLevel="0" collapsed="false">
      <c r="A22" s="2" t="s">
        <v>42</v>
      </c>
      <c r="B22" s="2" t="s">
        <v>37</v>
      </c>
      <c r="C22" s="3" t="n">
        <v>46192</v>
      </c>
      <c r="D22" s="4" t="n">
        <v>290952.84</v>
      </c>
      <c r="E22" s="4" t="n">
        <v>290952.84</v>
      </c>
      <c r="F22" s="5" t="n">
        <f aca="false">IF(E22="","",E22-D22)</f>
        <v>0</v>
      </c>
      <c r="G22" s="2" t="s">
        <v>15</v>
      </c>
      <c r="H22" s="2"/>
      <c r="I22" s="2" t="n">
        <v>0</v>
      </c>
      <c r="J22" s="4" t="n">
        <f aca="false">IF(G22="Divergente",ABS(F22),0)</f>
        <v>0</v>
      </c>
    </row>
    <row r="23" customFormat="false" ht="15" hidden="false" customHeight="false" outlineLevel="0" collapsed="false">
      <c r="A23" s="2" t="s">
        <v>43</v>
      </c>
      <c r="B23" s="2" t="s">
        <v>24</v>
      </c>
      <c r="C23" s="3" t="n">
        <v>46192</v>
      </c>
      <c r="D23" s="4" t="n">
        <v>455106.49</v>
      </c>
      <c r="E23" s="4" t="n">
        <v>455106.49</v>
      </c>
      <c r="F23" s="5" t="n">
        <f aca="false">IF(E23="","",E23-D23)</f>
        <v>0</v>
      </c>
      <c r="G23" s="2" t="s">
        <v>15</v>
      </c>
      <c r="H23" s="2"/>
      <c r="I23" s="2" t="n">
        <v>0</v>
      </c>
      <c r="J23" s="4" t="n">
        <f aca="false">IF(G23="Divergente",ABS(F23),0)</f>
        <v>0</v>
      </c>
    </row>
    <row r="24" customFormat="false" ht="15" hidden="false" customHeight="false" outlineLevel="0" collapsed="false">
      <c r="A24" s="2" t="s">
        <v>44</v>
      </c>
      <c r="B24" s="2" t="s">
        <v>24</v>
      </c>
      <c r="C24" s="3" t="n">
        <v>46193</v>
      </c>
      <c r="D24" s="4" t="n">
        <v>359021.7</v>
      </c>
      <c r="E24" s="4" t="n">
        <v>359021.7</v>
      </c>
      <c r="F24" s="5" t="n">
        <f aca="false">IF(E24="","",E24-D24)</f>
        <v>0</v>
      </c>
      <c r="G24" s="2" t="s">
        <v>15</v>
      </c>
      <c r="H24" s="2"/>
      <c r="I24" s="2" t="n">
        <v>0</v>
      </c>
      <c r="J24" s="4" t="n">
        <f aca="false">IF(G24="Divergente",ABS(F24),0)</f>
        <v>0</v>
      </c>
    </row>
    <row r="25" customFormat="false" ht="15" hidden="false" customHeight="false" outlineLevel="0" collapsed="false">
      <c r="A25" s="2" t="s">
        <v>45</v>
      </c>
      <c r="B25" s="2" t="s">
        <v>14</v>
      </c>
      <c r="C25" s="3" t="n">
        <v>46193</v>
      </c>
      <c r="D25" s="4" t="n">
        <v>476893.17</v>
      </c>
      <c r="E25" s="4" t="n">
        <v>476893.17</v>
      </c>
      <c r="F25" s="5" t="n">
        <f aca="false">IF(E25="","",E25-D25)</f>
        <v>0</v>
      </c>
      <c r="G25" s="2" t="s">
        <v>15</v>
      </c>
      <c r="H25" s="2"/>
      <c r="I25" s="2" t="n">
        <v>0</v>
      </c>
      <c r="J25" s="4" t="n">
        <f aca="false">IF(G25="Divergente",ABS(F25),0)</f>
        <v>0</v>
      </c>
    </row>
    <row r="26" customFormat="false" ht="15" hidden="false" customHeight="false" outlineLevel="0" collapsed="false">
      <c r="A26" s="2" t="s">
        <v>46</v>
      </c>
      <c r="B26" s="2" t="s">
        <v>31</v>
      </c>
      <c r="C26" s="3" t="n">
        <v>46193</v>
      </c>
      <c r="D26" s="4" t="n">
        <v>352482.51</v>
      </c>
      <c r="E26" s="4" t="n">
        <v>352482.51</v>
      </c>
      <c r="F26" s="5" t="n">
        <f aca="false">IF(E26="","",E26-D26)</f>
        <v>0</v>
      </c>
      <c r="G26" s="2" t="s">
        <v>15</v>
      </c>
      <c r="H26" s="2"/>
      <c r="I26" s="2" t="n">
        <v>0</v>
      </c>
      <c r="J26" s="4" t="n">
        <f aca="false">IF(G26="Divergente",ABS(F26),0)</f>
        <v>0</v>
      </c>
    </row>
    <row r="27" customFormat="false" ht="15" hidden="false" customHeight="false" outlineLevel="0" collapsed="false">
      <c r="A27" s="2" t="s">
        <v>47</v>
      </c>
      <c r="B27" s="2" t="s">
        <v>31</v>
      </c>
      <c r="C27" s="3" t="n">
        <v>46193</v>
      </c>
      <c r="D27" s="4" t="n">
        <v>40153.32</v>
      </c>
      <c r="E27" s="4" t="n">
        <v>40153.32</v>
      </c>
      <c r="F27" s="5" t="n">
        <f aca="false">IF(E27="","",E27-D27)</f>
        <v>0</v>
      </c>
      <c r="G27" s="2" t="s">
        <v>15</v>
      </c>
      <c r="H27" s="2"/>
      <c r="I27" s="2" t="n">
        <v>0</v>
      </c>
      <c r="J27" s="4" t="n">
        <f aca="false">IF(G27="Divergente",ABS(F27),0)</f>
        <v>0</v>
      </c>
    </row>
    <row r="28" customFormat="false" ht="15" hidden="false" customHeight="false" outlineLevel="0" collapsed="false">
      <c r="A28" s="2" t="s">
        <v>48</v>
      </c>
      <c r="B28" s="2" t="s">
        <v>14</v>
      </c>
      <c r="C28" s="3" t="n">
        <v>46194</v>
      </c>
      <c r="D28" s="4" t="n">
        <v>0</v>
      </c>
      <c r="E28" s="4" t="n">
        <v>82693.11</v>
      </c>
      <c r="F28" s="5" t="n">
        <f aca="false">IF(E28="","",E28-D28)</f>
        <v>82693.11</v>
      </c>
      <c r="G28" s="2" t="s">
        <v>17</v>
      </c>
      <c r="H28" s="2" t="s">
        <v>34</v>
      </c>
      <c r="I28" s="2" t="n">
        <v>0</v>
      </c>
      <c r="J28" s="4" t="n">
        <f aca="false">IF(G28="Divergente",ABS(F28),0)</f>
        <v>82693.11</v>
      </c>
    </row>
    <row r="29" customFormat="false" ht="15" hidden="false" customHeight="false" outlineLevel="0" collapsed="false">
      <c r="A29" s="2" t="s">
        <v>49</v>
      </c>
      <c r="B29" s="2" t="s">
        <v>11</v>
      </c>
      <c r="C29" s="3" t="n">
        <v>46194</v>
      </c>
      <c r="D29" s="4" t="n">
        <v>362263.52</v>
      </c>
      <c r="E29" s="4" t="n">
        <v>362263.52</v>
      </c>
      <c r="F29" s="5" t="n">
        <f aca="false">IF(E29="","",E29-D29)</f>
        <v>0</v>
      </c>
      <c r="G29" s="2" t="s">
        <v>15</v>
      </c>
      <c r="H29" s="2"/>
      <c r="I29" s="2" t="n">
        <v>0</v>
      </c>
      <c r="J29" s="4" t="n">
        <f aca="false">IF(G29="Divergente",ABS(F29),0)</f>
        <v>0</v>
      </c>
    </row>
    <row r="30" customFormat="false" ht="15" hidden="false" customHeight="false" outlineLevel="0" collapsed="false">
      <c r="A30" s="2" t="s">
        <v>50</v>
      </c>
      <c r="B30" s="2" t="s">
        <v>37</v>
      </c>
      <c r="C30" s="3" t="n">
        <v>46194</v>
      </c>
      <c r="D30" s="4" t="n">
        <v>66261.59</v>
      </c>
      <c r="E30" s="4" t="n">
        <v>66261.59</v>
      </c>
      <c r="F30" s="5" t="n">
        <f aca="false">IF(E30="","",E30-D30)</f>
        <v>0</v>
      </c>
      <c r="G30" s="2" t="s">
        <v>15</v>
      </c>
      <c r="H30" s="2"/>
      <c r="I30" s="2" t="n">
        <v>0</v>
      </c>
      <c r="J30" s="4" t="n">
        <f aca="false">IF(G30="Divergente",ABS(F30),0)</f>
        <v>0</v>
      </c>
    </row>
    <row r="31" customFormat="false" ht="15" hidden="false" customHeight="false" outlineLevel="0" collapsed="false">
      <c r="A31" s="2" t="s">
        <v>51</v>
      </c>
      <c r="B31" s="2" t="s">
        <v>14</v>
      </c>
      <c r="C31" s="3" t="n">
        <v>46194</v>
      </c>
      <c r="D31" s="4" t="n">
        <v>155027.61</v>
      </c>
      <c r="E31" s="4" t="n">
        <v>155027.61</v>
      </c>
      <c r="F31" s="5" t="n">
        <f aca="false">IF(E31="","",E31-D31)</f>
        <v>0</v>
      </c>
      <c r="G31" s="2" t="s">
        <v>17</v>
      </c>
      <c r="H31" s="2" t="s">
        <v>18</v>
      </c>
      <c r="I31" s="2" t="n">
        <v>6</v>
      </c>
      <c r="J31" s="4" t="n">
        <f aca="false">IF(G31="Divergente",ABS(F31),0)</f>
        <v>0</v>
      </c>
    </row>
    <row r="32" customFormat="false" ht="15" hidden="false" customHeight="false" outlineLevel="0" collapsed="false">
      <c r="A32" s="2" t="s">
        <v>52</v>
      </c>
      <c r="B32" s="2" t="s">
        <v>31</v>
      </c>
      <c r="C32" s="3" t="n">
        <v>46194</v>
      </c>
      <c r="D32" s="4" t="n">
        <v>347878.52</v>
      </c>
      <c r="E32" s="4" t="n">
        <v>347878.52</v>
      </c>
      <c r="F32" s="5" t="n">
        <f aca="false">IF(E32="","",E32-D32)</f>
        <v>0</v>
      </c>
      <c r="G32" s="2" t="s">
        <v>15</v>
      </c>
      <c r="H32" s="2"/>
      <c r="I32" s="2" t="n">
        <v>0</v>
      </c>
      <c r="J32" s="4" t="n">
        <f aca="false">IF(G32="Divergente",ABS(F32),0)</f>
        <v>0</v>
      </c>
    </row>
    <row r="33" customFormat="false" ht="15" hidden="false" customHeight="false" outlineLevel="0" collapsed="false">
      <c r="A33" s="2" t="s">
        <v>53</v>
      </c>
      <c r="B33" s="2" t="s">
        <v>11</v>
      </c>
      <c r="C33" s="3" t="n">
        <v>46195</v>
      </c>
      <c r="D33" s="4" t="n">
        <v>97914.41</v>
      </c>
      <c r="E33" s="4" t="n">
        <v>195828.82</v>
      </c>
      <c r="F33" s="5" t="n">
        <f aca="false">IF(E33="","",E33-D33)</f>
        <v>97914.41</v>
      </c>
      <c r="G33" s="2" t="s">
        <v>17</v>
      </c>
      <c r="H33" s="2" t="s">
        <v>54</v>
      </c>
      <c r="I33" s="2" t="n">
        <v>0</v>
      </c>
      <c r="J33" s="4" t="n">
        <f aca="false">IF(G33="Divergente",ABS(F33),0)</f>
        <v>97914.41</v>
      </c>
    </row>
    <row r="34" customFormat="false" ht="15" hidden="false" customHeight="false" outlineLevel="0" collapsed="false">
      <c r="A34" s="2" t="s">
        <v>55</v>
      </c>
      <c r="B34" s="2" t="s">
        <v>22</v>
      </c>
      <c r="C34" s="3" t="n">
        <v>46195</v>
      </c>
      <c r="D34" s="4" t="n">
        <v>135001.24</v>
      </c>
      <c r="E34" s="4" t="n">
        <v>135001.24</v>
      </c>
      <c r="F34" s="5" t="n">
        <f aca="false">IF(E34="","",E34-D34)</f>
        <v>0</v>
      </c>
      <c r="G34" s="2" t="s">
        <v>15</v>
      </c>
      <c r="H34" s="2"/>
      <c r="I34" s="2" t="n">
        <v>0</v>
      </c>
      <c r="J34" s="4" t="n">
        <f aca="false">IF(G34="Divergente",ABS(F34),0)</f>
        <v>0</v>
      </c>
    </row>
    <row r="35" customFormat="false" ht="15" hidden="false" customHeight="false" outlineLevel="0" collapsed="false">
      <c r="A35" s="2" t="s">
        <v>56</v>
      </c>
      <c r="B35" s="2" t="s">
        <v>14</v>
      </c>
      <c r="C35" s="3" t="n">
        <v>46195</v>
      </c>
      <c r="D35" s="4" t="n">
        <v>112054.29</v>
      </c>
      <c r="E35" s="4" t="n">
        <v>112054.29</v>
      </c>
      <c r="F35" s="5" t="n">
        <f aca="false">IF(E35="","",E35-D35)</f>
        <v>0</v>
      </c>
      <c r="G35" s="2" t="s">
        <v>15</v>
      </c>
      <c r="H35" s="2"/>
      <c r="I35" s="2" t="n">
        <v>0</v>
      </c>
      <c r="J35" s="4" t="n">
        <f aca="false">IF(G35="Divergente",ABS(F35),0)</f>
        <v>0</v>
      </c>
    </row>
    <row r="36" customFormat="false" ht="15" hidden="false" customHeight="false" outlineLevel="0" collapsed="false">
      <c r="A36" s="2" t="s">
        <v>57</v>
      </c>
      <c r="B36" s="2" t="s">
        <v>11</v>
      </c>
      <c r="C36" s="3" t="n">
        <v>46195</v>
      </c>
      <c r="D36" s="4" t="n">
        <v>218525.93</v>
      </c>
      <c r="E36" s="4" t="n">
        <v>218525.93</v>
      </c>
      <c r="F36" s="5" t="n">
        <f aca="false">IF(E36="","",E36-D36)</f>
        <v>0</v>
      </c>
      <c r="G36" s="2" t="s">
        <v>15</v>
      </c>
      <c r="H36" s="2"/>
      <c r="I36" s="2" t="n">
        <v>0</v>
      </c>
      <c r="J36" s="4" t="n">
        <f aca="false">IF(G36="Divergente",ABS(F36),0)</f>
        <v>0</v>
      </c>
    </row>
    <row r="37" customFormat="false" ht="15" hidden="false" customHeight="false" outlineLevel="0" collapsed="false">
      <c r="A37" s="2" t="s">
        <v>58</v>
      </c>
      <c r="B37" s="2" t="s">
        <v>14</v>
      </c>
      <c r="C37" s="3" t="n">
        <v>46195</v>
      </c>
      <c r="D37" s="4" t="n">
        <v>173375.26</v>
      </c>
      <c r="E37" s="4" t="n">
        <v>168174</v>
      </c>
      <c r="F37" s="5" t="n">
        <f aca="false">IF(E37="","",E37-D37)</f>
        <v>-5201.26000000001</v>
      </c>
      <c r="G37" s="2" t="s">
        <v>17</v>
      </c>
      <c r="H37" s="2" t="s">
        <v>28</v>
      </c>
      <c r="I37" s="2" t="n">
        <v>0</v>
      </c>
      <c r="J37" s="4" t="n">
        <f aca="false">IF(G37="Divergente",ABS(F37),0)</f>
        <v>5201.26000000001</v>
      </c>
    </row>
    <row r="38" customFormat="false" ht="15" hidden="false" customHeight="false" outlineLevel="0" collapsed="false">
      <c r="A38" s="2" t="s">
        <v>59</v>
      </c>
      <c r="B38" s="2" t="s">
        <v>22</v>
      </c>
      <c r="C38" s="3" t="n">
        <v>46195</v>
      </c>
      <c r="D38" s="4" t="n">
        <v>389042.9</v>
      </c>
      <c r="E38" s="4" t="n">
        <v>389042.9</v>
      </c>
      <c r="F38" s="5" t="n">
        <f aca="false">IF(E38="","",E38-D38)</f>
        <v>0</v>
      </c>
      <c r="G38" s="2" t="s">
        <v>15</v>
      </c>
      <c r="H38" s="2"/>
      <c r="I38" s="2" t="n">
        <v>0</v>
      </c>
      <c r="J38" s="4" t="n">
        <f aca="false">IF(G38="Divergente",ABS(F38),0)</f>
        <v>0</v>
      </c>
    </row>
    <row r="39" customFormat="false" ht="15" hidden="false" customHeight="false" outlineLevel="0" collapsed="false">
      <c r="A39" s="2" t="s">
        <v>60</v>
      </c>
      <c r="B39" s="2" t="s">
        <v>37</v>
      </c>
      <c r="C39" s="3" t="n">
        <v>46195</v>
      </c>
      <c r="D39" s="4" t="n">
        <v>207354.01</v>
      </c>
      <c r="E39" s="4" t="n">
        <v>207354.01</v>
      </c>
      <c r="F39" s="5" t="n">
        <f aca="false">IF(E39="","",E39-D39)</f>
        <v>0</v>
      </c>
      <c r="G39" s="2" t="s">
        <v>15</v>
      </c>
      <c r="H39" s="2"/>
      <c r="I39" s="2" t="n">
        <v>0</v>
      </c>
      <c r="J39" s="4" t="n">
        <f aca="false">IF(G39="Divergente",ABS(F39),0)</f>
        <v>0</v>
      </c>
    </row>
    <row r="40" customFormat="false" ht="15" hidden="false" customHeight="false" outlineLevel="0" collapsed="false">
      <c r="A40" s="2" t="s">
        <v>61</v>
      </c>
      <c r="B40" s="2" t="s">
        <v>24</v>
      </c>
      <c r="C40" s="3" t="n">
        <v>46196</v>
      </c>
      <c r="D40" s="4" t="n">
        <v>115774.29</v>
      </c>
      <c r="E40" s="4" t="n">
        <v>115774.29</v>
      </c>
      <c r="F40" s="5" t="n">
        <f aca="false">IF(E40="","",E40-D40)</f>
        <v>0</v>
      </c>
      <c r="G40" s="2" t="s">
        <v>15</v>
      </c>
      <c r="H40" s="2"/>
      <c r="I40" s="2" t="n">
        <v>0</v>
      </c>
      <c r="J40" s="4" t="n">
        <f aca="false">IF(G40="Divergente",ABS(F40),0)</f>
        <v>0</v>
      </c>
    </row>
    <row r="41" customFormat="false" ht="15" hidden="false" customHeight="false" outlineLevel="0" collapsed="false">
      <c r="A41" s="2" t="s">
        <v>62</v>
      </c>
      <c r="B41" s="2" t="s">
        <v>37</v>
      </c>
      <c r="C41" s="3" t="n">
        <v>46196</v>
      </c>
      <c r="D41" s="4" t="n">
        <v>103036.43</v>
      </c>
      <c r="E41" s="4" t="n">
        <v>103036.43</v>
      </c>
      <c r="F41" s="5" t="n">
        <f aca="false">IF(E41="","",E41-D41)</f>
        <v>0</v>
      </c>
      <c r="G41" s="2" t="s">
        <v>15</v>
      </c>
      <c r="H41" s="2"/>
      <c r="I41" s="2" t="n">
        <v>0</v>
      </c>
      <c r="J41" s="4" t="n">
        <f aca="false">IF(G41="Divergente",ABS(F41),0)</f>
        <v>0</v>
      </c>
    </row>
    <row r="42" customFormat="false" ht="15" hidden="false" customHeight="false" outlineLevel="0" collapsed="false">
      <c r="A42" s="2" t="s">
        <v>63</v>
      </c>
      <c r="B42" s="2" t="s">
        <v>24</v>
      </c>
      <c r="C42" s="3" t="n">
        <v>46196</v>
      </c>
      <c r="D42" s="4" t="n">
        <v>76070.82</v>
      </c>
      <c r="E42" s="4" t="n">
        <v>76070.82</v>
      </c>
      <c r="F42" s="5" t="n">
        <f aca="false">IF(E42="","",E42-D42)</f>
        <v>0</v>
      </c>
      <c r="G42" s="2" t="s">
        <v>15</v>
      </c>
      <c r="H42" s="2"/>
      <c r="I42" s="2" t="n">
        <v>0</v>
      </c>
      <c r="J42" s="4" t="n">
        <f aca="false">IF(G42="Divergente",ABS(F42),0)</f>
        <v>0</v>
      </c>
    </row>
    <row r="43" customFormat="false" ht="15" hidden="false" customHeight="false" outlineLevel="0" collapsed="false">
      <c r="A43" s="2" t="s">
        <v>64</v>
      </c>
      <c r="B43" s="2" t="s">
        <v>14</v>
      </c>
      <c r="C43" s="3" t="n">
        <v>46196</v>
      </c>
      <c r="D43" s="4" t="n">
        <v>75658.97</v>
      </c>
      <c r="E43" s="4" t="n">
        <v>75658.97</v>
      </c>
      <c r="F43" s="5" t="n">
        <f aca="false">IF(E43="","",E43-D43)</f>
        <v>0</v>
      </c>
      <c r="G43" s="2" t="s">
        <v>15</v>
      </c>
      <c r="H43" s="2"/>
      <c r="I43" s="2" t="n">
        <v>0</v>
      </c>
      <c r="J43" s="4" t="n">
        <f aca="false">IF(G43="Divergente",ABS(F43),0)</f>
        <v>0</v>
      </c>
    </row>
    <row r="44" customFormat="false" ht="15" hidden="false" customHeight="false" outlineLevel="0" collapsed="false">
      <c r="A44" s="2" t="s">
        <v>65</v>
      </c>
      <c r="B44" s="2" t="s">
        <v>24</v>
      </c>
      <c r="C44" s="3" t="n">
        <v>46196</v>
      </c>
      <c r="D44" s="4" t="n">
        <v>61642.01</v>
      </c>
      <c r="E44" s="4" t="n">
        <v>61642.01</v>
      </c>
      <c r="F44" s="5" t="n">
        <f aca="false">IF(E44="","",E44-D44)</f>
        <v>0</v>
      </c>
      <c r="G44" s="2" t="s">
        <v>15</v>
      </c>
      <c r="H44" s="2"/>
      <c r="I44" s="2" t="n">
        <v>0</v>
      </c>
      <c r="J44" s="4" t="n">
        <f aca="false">IF(G44="Divergente",ABS(F44),0)</f>
        <v>0</v>
      </c>
    </row>
    <row r="45" customFormat="false" ht="15" hidden="false" customHeight="false" outlineLevel="0" collapsed="false">
      <c r="A45" s="2" t="s">
        <v>66</v>
      </c>
      <c r="B45" s="2" t="s">
        <v>37</v>
      </c>
      <c r="C45" s="3" t="n">
        <v>46196</v>
      </c>
      <c r="D45" s="4" t="n">
        <v>96847.72</v>
      </c>
      <c r="E45" s="4" t="n">
        <v>96847.72</v>
      </c>
      <c r="F45" s="5" t="n">
        <f aca="false">IF(E45="","",E45-D45)</f>
        <v>0</v>
      </c>
      <c r="G45" s="2" t="s">
        <v>15</v>
      </c>
      <c r="H45" s="2"/>
      <c r="I45" s="2" t="n">
        <v>0</v>
      </c>
      <c r="J45" s="4" t="n">
        <f aca="false">IF(G45="Divergente",ABS(F45),0)</f>
        <v>0</v>
      </c>
    </row>
    <row r="46" customFormat="false" ht="15" hidden="false" customHeight="false" outlineLevel="0" collapsed="false">
      <c r="A46" s="2" t="s">
        <v>67</v>
      </c>
      <c r="B46" s="2" t="s">
        <v>31</v>
      </c>
      <c r="C46" s="3" t="n">
        <v>46196</v>
      </c>
      <c r="D46" s="4" t="n">
        <v>301025.64</v>
      </c>
      <c r="E46" s="4" t="n">
        <v>301025.64</v>
      </c>
      <c r="F46" s="5" t="n">
        <f aca="false">IF(E46="","",E46-D46)</f>
        <v>0</v>
      </c>
      <c r="G46" s="2" t="s">
        <v>15</v>
      </c>
      <c r="H46" s="2"/>
      <c r="I46" s="2" t="n">
        <v>0</v>
      </c>
      <c r="J46" s="4" t="n">
        <f aca="false">IF(G46="Divergente",ABS(F46),0)</f>
        <v>0</v>
      </c>
    </row>
    <row r="47" customFormat="false" ht="15" hidden="false" customHeight="false" outlineLevel="0" collapsed="false">
      <c r="A47" s="2" t="s">
        <v>68</v>
      </c>
      <c r="B47" s="2" t="s">
        <v>37</v>
      </c>
      <c r="C47" s="3" t="n">
        <v>46197</v>
      </c>
      <c r="D47" s="4" t="n">
        <v>476896.22</v>
      </c>
      <c r="E47" s="4" t="n">
        <v>476896.22</v>
      </c>
      <c r="F47" s="5" t="n">
        <f aca="false">IF(E47="","",E47-D47)</f>
        <v>0</v>
      </c>
      <c r="G47" s="2" t="s">
        <v>15</v>
      </c>
      <c r="H47" s="2"/>
      <c r="I47" s="2" t="n">
        <v>0</v>
      </c>
      <c r="J47" s="4" t="n">
        <f aca="false">IF(G47="Divergente",ABS(F47),0)</f>
        <v>0</v>
      </c>
    </row>
    <row r="48" customFormat="false" ht="15" hidden="false" customHeight="false" outlineLevel="0" collapsed="false">
      <c r="A48" s="2" t="s">
        <v>69</v>
      </c>
      <c r="B48" s="2" t="s">
        <v>37</v>
      </c>
      <c r="C48" s="3" t="n">
        <v>46197</v>
      </c>
      <c r="D48" s="4" t="n">
        <v>0</v>
      </c>
      <c r="E48" s="4" t="n">
        <v>170333.54</v>
      </c>
      <c r="F48" s="5" t="n">
        <f aca="false">IF(E48="","",E48-D48)</f>
        <v>170333.54</v>
      </c>
      <c r="G48" s="2" t="s">
        <v>17</v>
      </c>
      <c r="H48" s="2" t="s">
        <v>34</v>
      </c>
      <c r="I48" s="2" t="n">
        <v>0</v>
      </c>
      <c r="J48" s="4" t="n">
        <f aca="false">IF(G48="Divergente",ABS(F48),0)</f>
        <v>170333.54</v>
      </c>
    </row>
    <row r="49" customFormat="false" ht="15" hidden="false" customHeight="false" outlineLevel="0" collapsed="false">
      <c r="A49" s="2" t="s">
        <v>70</v>
      </c>
      <c r="B49" s="2" t="s">
        <v>22</v>
      </c>
      <c r="C49" s="3" t="n">
        <v>46197</v>
      </c>
      <c r="D49" s="4" t="n">
        <v>149140.6</v>
      </c>
      <c r="E49" s="4" t="n">
        <v>149140.6</v>
      </c>
      <c r="F49" s="5" t="n">
        <f aca="false">IF(E49="","",E49-D49)</f>
        <v>0</v>
      </c>
      <c r="G49" s="2" t="s">
        <v>15</v>
      </c>
      <c r="H49" s="2"/>
      <c r="I49" s="2" t="n">
        <v>0</v>
      </c>
      <c r="J49" s="4" t="n">
        <f aca="false">IF(G49="Divergente",ABS(F49),0)</f>
        <v>0</v>
      </c>
    </row>
    <row r="50" customFormat="false" ht="15" hidden="false" customHeight="false" outlineLevel="0" collapsed="false">
      <c r="A50" s="2" t="s">
        <v>71</v>
      </c>
      <c r="B50" s="2" t="s">
        <v>11</v>
      </c>
      <c r="C50" s="3" t="n">
        <v>46197</v>
      </c>
      <c r="D50" s="4" t="n">
        <v>262350.53</v>
      </c>
      <c r="E50" s="4" t="n">
        <v>262350.53</v>
      </c>
      <c r="F50" s="5" t="n">
        <f aca="false">IF(E50="","",E50-D50)</f>
        <v>0</v>
      </c>
      <c r="G50" s="2" t="s">
        <v>15</v>
      </c>
      <c r="H50" s="2"/>
      <c r="I50" s="2" t="n">
        <v>0</v>
      </c>
      <c r="J50" s="4" t="n">
        <f aca="false">IF(G50="Divergente",ABS(F50),0)</f>
        <v>0</v>
      </c>
    </row>
    <row r="51" customFormat="false" ht="15" hidden="false" customHeight="false" outlineLevel="0" collapsed="false">
      <c r="A51" s="2" t="s">
        <v>72</v>
      </c>
      <c r="B51" s="2" t="s">
        <v>31</v>
      </c>
      <c r="C51" s="3" t="n">
        <v>46198</v>
      </c>
      <c r="D51" s="4" t="n">
        <v>95971.14</v>
      </c>
      <c r="E51" s="4" t="n">
        <v>95971.14</v>
      </c>
      <c r="F51" s="5" t="n">
        <f aca="false">IF(E51="","",E51-D51)</f>
        <v>0</v>
      </c>
      <c r="G51" s="2" t="s">
        <v>15</v>
      </c>
      <c r="H51" s="2"/>
      <c r="I51" s="2" t="n">
        <v>0</v>
      </c>
      <c r="J51" s="4" t="n">
        <f aca="false">IF(G51="Divergente",ABS(F51),0)</f>
        <v>0</v>
      </c>
    </row>
    <row r="52" customFormat="false" ht="15" hidden="false" customHeight="false" outlineLevel="0" collapsed="false">
      <c r="A52" s="2" t="s">
        <v>73</v>
      </c>
      <c r="B52" s="2" t="s">
        <v>24</v>
      </c>
      <c r="C52" s="3" t="n">
        <v>46198</v>
      </c>
      <c r="D52" s="4" t="n">
        <v>371164.33</v>
      </c>
      <c r="E52" s="4" t="n">
        <v>371164.33</v>
      </c>
      <c r="F52" s="5" t="n">
        <f aca="false">IF(E52="","",E52-D52)</f>
        <v>0</v>
      </c>
      <c r="G52" s="2" t="s">
        <v>15</v>
      </c>
      <c r="H52" s="2"/>
      <c r="I52" s="2" t="n">
        <v>0</v>
      </c>
      <c r="J52" s="4" t="n">
        <f aca="false">IF(G52="Divergente",ABS(F52),0)</f>
        <v>0</v>
      </c>
    </row>
    <row r="53" customFormat="false" ht="15" hidden="false" customHeight="false" outlineLevel="0" collapsed="false">
      <c r="A53" s="2" t="s">
        <v>74</v>
      </c>
      <c r="B53" s="2" t="s">
        <v>22</v>
      </c>
      <c r="C53" s="3" t="n">
        <v>46198</v>
      </c>
      <c r="D53" s="4" t="n">
        <v>418496.26</v>
      </c>
      <c r="E53" s="4" t="n">
        <v>418496.26</v>
      </c>
      <c r="F53" s="5" t="n">
        <f aca="false">IF(E53="","",E53-D53)</f>
        <v>0</v>
      </c>
      <c r="G53" s="2" t="s">
        <v>15</v>
      </c>
      <c r="H53" s="2"/>
      <c r="I53" s="2" t="n">
        <v>0</v>
      </c>
      <c r="J53" s="4" t="n">
        <f aca="false">IF(G53="Divergente",ABS(F53),0)</f>
        <v>0</v>
      </c>
    </row>
    <row r="54" customFormat="false" ht="15" hidden="false" customHeight="false" outlineLevel="0" collapsed="false">
      <c r="A54" s="2" t="s">
        <v>75</v>
      </c>
      <c r="B54" s="2" t="s">
        <v>31</v>
      </c>
      <c r="C54" s="3" t="n">
        <v>46198</v>
      </c>
      <c r="D54" s="4" t="n">
        <v>263278.59</v>
      </c>
      <c r="E54" s="4" t="n">
        <v>263278.59</v>
      </c>
      <c r="F54" s="5" t="n">
        <f aca="false">IF(E54="","",E54-D54)</f>
        <v>0</v>
      </c>
      <c r="G54" s="2" t="s">
        <v>15</v>
      </c>
      <c r="H54" s="2"/>
      <c r="I54" s="2" t="n">
        <v>0</v>
      </c>
      <c r="J54" s="4" t="n">
        <f aca="false">IF(G54="Divergente",ABS(F54),0)</f>
        <v>0</v>
      </c>
    </row>
    <row r="55" customFormat="false" ht="15" hidden="false" customHeight="false" outlineLevel="0" collapsed="false">
      <c r="A55" s="2" t="s">
        <v>76</v>
      </c>
      <c r="B55" s="2" t="s">
        <v>31</v>
      </c>
      <c r="C55" s="3" t="n">
        <v>46198</v>
      </c>
      <c r="D55" s="4" t="n">
        <v>377372.06</v>
      </c>
      <c r="E55" s="4" t="n">
        <v>377372.06</v>
      </c>
      <c r="F55" s="5" t="n">
        <f aca="false">IF(E55="","",E55-D55)</f>
        <v>0</v>
      </c>
      <c r="G55" s="2" t="s">
        <v>15</v>
      </c>
      <c r="H55" s="2"/>
      <c r="I55" s="2" t="n">
        <v>0</v>
      </c>
      <c r="J55" s="4" t="n">
        <f aca="false">IF(G55="Divergente",ABS(F55),0)</f>
        <v>0</v>
      </c>
    </row>
    <row r="56" customFormat="false" ht="15" hidden="false" customHeight="false" outlineLevel="0" collapsed="false">
      <c r="A56" s="2" t="s">
        <v>77</v>
      </c>
      <c r="B56" s="2" t="s">
        <v>14</v>
      </c>
      <c r="C56" s="3" t="n">
        <v>46198</v>
      </c>
      <c r="D56" s="4" t="n">
        <v>178349.25</v>
      </c>
      <c r="E56" s="4" t="n">
        <v>178349.25</v>
      </c>
      <c r="F56" s="5" t="n">
        <f aca="false">IF(E56="","",E56-D56)</f>
        <v>0</v>
      </c>
      <c r="G56" s="2" t="s">
        <v>15</v>
      </c>
      <c r="H56" s="2"/>
      <c r="I56" s="2" t="n">
        <v>0</v>
      </c>
      <c r="J56" s="4" t="n">
        <f aca="false">IF(G56="Divergente",ABS(F56),0)</f>
        <v>0</v>
      </c>
    </row>
    <row r="57" customFormat="false" ht="15" hidden="false" customHeight="false" outlineLevel="0" collapsed="false">
      <c r="A57" s="2" t="s">
        <v>78</v>
      </c>
      <c r="B57" s="2" t="s">
        <v>11</v>
      </c>
      <c r="C57" s="3" t="n">
        <v>46198</v>
      </c>
      <c r="D57" s="4" t="n">
        <v>392735.36</v>
      </c>
      <c r="E57" s="4" t="n">
        <v>392735.36</v>
      </c>
      <c r="F57" s="5" t="n">
        <f aca="false">IF(E57="","",E57-D57)</f>
        <v>0</v>
      </c>
      <c r="G57" s="2" t="s">
        <v>15</v>
      </c>
      <c r="H57" s="2"/>
      <c r="I57" s="2" t="n">
        <v>0</v>
      </c>
      <c r="J57" s="4" t="n">
        <f aca="false">IF(G57="Divergente",ABS(F57),0)</f>
        <v>0</v>
      </c>
    </row>
    <row r="58" customFormat="false" ht="15" hidden="false" customHeight="false" outlineLevel="0" collapsed="false">
      <c r="A58" s="2" t="s">
        <v>79</v>
      </c>
      <c r="B58" s="2" t="s">
        <v>22</v>
      </c>
      <c r="C58" s="3" t="n">
        <v>46198</v>
      </c>
      <c r="D58" s="4" t="n">
        <v>391496.73</v>
      </c>
      <c r="E58" s="4" t="n">
        <v>391496.73</v>
      </c>
      <c r="F58" s="5" t="n">
        <f aca="false">IF(E58="","",E58-D58)</f>
        <v>0</v>
      </c>
      <c r="G58" s="2" t="s">
        <v>15</v>
      </c>
      <c r="H58" s="2"/>
      <c r="I58" s="2" t="n">
        <v>0</v>
      </c>
      <c r="J58" s="4" t="n">
        <f aca="false">IF(G58="Divergente",ABS(F58),0)</f>
        <v>0</v>
      </c>
    </row>
    <row r="59" customFormat="false" ht="15" hidden="false" customHeight="false" outlineLevel="0" collapsed="false">
      <c r="A59" s="2" t="s">
        <v>80</v>
      </c>
      <c r="B59" s="2" t="s">
        <v>31</v>
      </c>
      <c r="C59" s="3" t="n">
        <v>46199</v>
      </c>
      <c r="D59" s="4" t="n">
        <v>358951.8</v>
      </c>
      <c r="E59" s="4" t="n">
        <v>358951.8</v>
      </c>
      <c r="F59" s="5" t="n">
        <f aca="false">IF(E59="","",E59-D59)</f>
        <v>0</v>
      </c>
      <c r="G59" s="2" t="s">
        <v>15</v>
      </c>
      <c r="H59" s="2"/>
      <c r="I59" s="2" t="n">
        <v>0</v>
      </c>
      <c r="J59" s="4" t="n">
        <f aca="false">IF(G59="Divergente",ABS(F59),0)</f>
        <v>0</v>
      </c>
    </row>
    <row r="60" customFormat="false" ht="15" hidden="false" customHeight="false" outlineLevel="0" collapsed="false">
      <c r="A60" s="2" t="s">
        <v>81</v>
      </c>
      <c r="B60" s="2" t="s">
        <v>31</v>
      </c>
      <c r="C60" s="3" t="n">
        <v>46199</v>
      </c>
      <c r="D60" s="4" t="n">
        <v>242508.03</v>
      </c>
      <c r="E60" s="4" t="n">
        <v>242508.03</v>
      </c>
      <c r="F60" s="5" t="n">
        <f aca="false">IF(E60="","",E60-D60)</f>
        <v>0</v>
      </c>
      <c r="G60" s="2" t="s">
        <v>15</v>
      </c>
      <c r="H60" s="2"/>
      <c r="I60" s="2" t="n">
        <v>0</v>
      </c>
      <c r="J60" s="4" t="n">
        <f aca="false">IF(G60="Divergente",ABS(F60),0)</f>
        <v>0</v>
      </c>
    </row>
    <row r="61" customFormat="false" ht="15" hidden="false" customHeight="false" outlineLevel="0" collapsed="false">
      <c r="A61" s="2" t="s">
        <v>82</v>
      </c>
      <c r="B61" s="2" t="s">
        <v>14</v>
      </c>
      <c r="C61" s="3" t="n">
        <v>46199</v>
      </c>
      <c r="D61" s="4" t="n">
        <v>460431.78</v>
      </c>
      <c r="E61" s="4" t="n">
        <v>460431.78</v>
      </c>
      <c r="F61" s="5" t="n">
        <f aca="false">IF(E61="","",E61-D61)</f>
        <v>0</v>
      </c>
      <c r="G61" s="2" t="s">
        <v>15</v>
      </c>
      <c r="H61" s="2"/>
      <c r="I61" s="2" t="n">
        <v>0</v>
      </c>
      <c r="J61" s="4" t="n">
        <f aca="false">IF(G61="Divergente",ABS(F61),0)</f>
        <v>0</v>
      </c>
    </row>
    <row r="62" customFormat="false" ht="15" hidden="false" customHeight="false" outlineLevel="0" collapsed="false">
      <c r="A62" s="2" t="s">
        <v>83</v>
      </c>
      <c r="B62" s="2" t="s">
        <v>22</v>
      </c>
      <c r="C62" s="3" t="n">
        <v>46199</v>
      </c>
      <c r="D62" s="4" t="n">
        <v>474617.13</v>
      </c>
      <c r="E62" s="4" t="n">
        <v>474617.13</v>
      </c>
      <c r="F62" s="5" t="n">
        <f aca="false">IF(E62="","",E62-D62)</f>
        <v>0</v>
      </c>
      <c r="G62" s="2" t="s">
        <v>15</v>
      </c>
      <c r="H62" s="2"/>
      <c r="I62" s="2" t="n">
        <v>0</v>
      </c>
      <c r="J62" s="4" t="n">
        <f aca="false">IF(G62="Divergente",ABS(F62),0)</f>
        <v>0</v>
      </c>
    </row>
    <row r="63" customFormat="false" ht="15" hidden="false" customHeight="false" outlineLevel="0" collapsed="false">
      <c r="A63" s="2" t="s">
        <v>84</v>
      </c>
      <c r="B63" s="2" t="s">
        <v>31</v>
      </c>
      <c r="C63" s="3" t="n">
        <v>46199</v>
      </c>
      <c r="D63" s="4" t="n">
        <v>66242.16</v>
      </c>
      <c r="E63" s="4" t="n">
        <v>66242.16</v>
      </c>
      <c r="F63" s="5" t="n">
        <f aca="false">IF(E63="","",E63-D63)</f>
        <v>0</v>
      </c>
      <c r="G63" s="2" t="s">
        <v>17</v>
      </c>
      <c r="H63" s="2" t="s">
        <v>18</v>
      </c>
      <c r="I63" s="2" t="n">
        <v>3</v>
      </c>
      <c r="J63" s="4" t="n">
        <f aca="false">IF(G63="Divergente",ABS(F63),0)</f>
        <v>0</v>
      </c>
    </row>
    <row r="64" customFormat="false" ht="15" hidden="false" customHeight="false" outlineLevel="0" collapsed="false">
      <c r="A64" s="2" t="s">
        <v>85</v>
      </c>
      <c r="B64" s="2" t="s">
        <v>31</v>
      </c>
      <c r="C64" s="3" t="n">
        <v>46199</v>
      </c>
      <c r="D64" s="4" t="n">
        <v>121968.01</v>
      </c>
      <c r="E64" s="4" t="n">
        <v>121968.01</v>
      </c>
      <c r="F64" s="5" t="n">
        <f aca="false">IF(E64="","",E64-D64)</f>
        <v>0</v>
      </c>
      <c r="G64" s="2" t="s">
        <v>15</v>
      </c>
      <c r="H64" s="2"/>
      <c r="I64" s="2" t="n">
        <v>0</v>
      </c>
      <c r="J64" s="4" t="n">
        <f aca="false">IF(G64="Divergente",ABS(F64),0)</f>
        <v>0</v>
      </c>
    </row>
    <row r="65" customFormat="false" ht="15" hidden="false" customHeight="false" outlineLevel="0" collapsed="false">
      <c r="A65" s="2" t="s">
        <v>86</v>
      </c>
      <c r="B65" s="2" t="s">
        <v>14</v>
      </c>
      <c r="C65" s="3" t="n">
        <v>46199</v>
      </c>
      <c r="D65" s="4" t="n">
        <v>408195.99</v>
      </c>
      <c r="E65" s="4" t="n">
        <v>408195.99</v>
      </c>
      <c r="F65" s="5" t="n">
        <f aca="false">IF(E65="","",E65-D65)</f>
        <v>0</v>
      </c>
      <c r="G65" s="2" t="s">
        <v>15</v>
      </c>
      <c r="H65" s="2"/>
      <c r="I65" s="2" t="n">
        <v>0</v>
      </c>
      <c r="J65" s="4" t="n">
        <f aca="false">IF(G65="Divergente",ABS(F65),0)</f>
        <v>0</v>
      </c>
    </row>
    <row r="66" customFormat="false" ht="15" hidden="false" customHeight="false" outlineLevel="0" collapsed="false">
      <c r="A66" s="2" t="s">
        <v>87</v>
      </c>
      <c r="B66" s="2" t="s">
        <v>22</v>
      </c>
      <c r="C66" s="3" t="n">
        <v>46200</v>
      </c>
      <c r="D66" s="4" t="n">
        <v>68150.32</v>
      </c>
      <c r="E66" s="4" t="n">
        <v>68150.32</v>
      </c>
      <c r="F66" s="5" t="n">
        <f aca="false">IF(E66="","",E66-D66)</f>
        <v>0</v>
      </c>
      <c r="G66" s="2" t="s">
        <v>15</v>
      </c>
      <c r="H66" s="2"/>
      <c r="I66" s="2" t="n">
        <v>0</v>
      </c>
      <c r="J66" s="4" t="n">
        <f aca="false">IF(G66="Divergente",ABS(F66),0)</f>
        <v>0</v>
      </c>
    </row>
    <row r="67" customFormat="false" ht="15" hidden="false" customHeight="false" outlineLevel="0" collapsed="false">
      <c r="A67" s="2" t="s">
        <v>88</v>
      </c>
      <c r="B67" s="2" t="s">
        <v>37</v>
      </c>
      <c r="C67" s="3" t="n">
        <v>46200</v>
      </c>
      <c r="D67" s="4" t="n">
        <v>382036.3</v>
      </c>
      <c r="E67" s="4" t="n">
        <v>382036.3</v>
      </c>
      <c r="F67" s="5" t="n">
        <f aca="false">IF(E67="","",E67-D67)</f>
        <v>0</v>
      </c>
      <c r="G67" s="2" t="s">
        <v>15</v>
      </c>
      <c r="H67" s="2"/>
      <c r="I67" s="2" t="n">
        <v>0</v>
      </c>
      <c r="J67" s="4" t="n">
        <f aca="false">IF(G67="Divergente",ABS(F67),0)</f>
        <v>0</v>
      </c>
    </row>
    <row r="68" customFormat="false" ht="15" hidden="false" customHeight="false" outlineLevel="0" collapsed="false">
      <c r="A68" s="2" t="s">
        <v>89</v>
      </c>
      <c r="B68" s="2" t="s">
        <v>37</v>
      </c>
      <c r="C68" s="3" t="n">
        <v>46200</v>
      </c>
      <c r="D68" s="4" t="n">
        <v>430054.95</v>
      </c>
      <c r="E68" s="4" t="n">
        <v>430054.95</v>
      </c>
      <c r="F68" s="5" t="n">
        <f aca="false">IF(E68="","",E68-D68)</f>
        <v>0</v>
      </c>
      <c r="G68" s="2" t="s">
        <v>15</v>
      </c>
      <c r="H68" s="2"/>
      <c r="I68" s="2" t="n">
        <v>0</v>
      </c>
      <c r="J68" s="4" t="n">
        <f aca="false">IF(G68="Divergente",ABS(F68),0)</f>
        <v>0</v>
      </c>
    </row>
    <row r="69" customFormat="false" ht="15" hidden="false" customHeight="false" outlineLevel="0" collapsed="false">
      <c r="A69" s="2" t="s">
        <v>90</v>
      </c>
      <c r="B69" s="2" t="s">
        <v>22</v>
      </c>
      <c r="C69" s="3" t="n">
        <v>46200</v>
      </c>
      <c r="D69" s="4" t="n">
        <v>179632.74</v>
      </c>
      <c r="E69" s="4" t="n">
        <v>179632.74</v>
      </c>
      <c r="F69" s="5" t="n">
        <f aca="false">IF(E69="","",E69-D69)</f>
        <v>0</v>
      </c>
      <c r="G69" s="2" t="s">
        <v>15</v>
      </c>
      <c r="H69" s="2"/>
      <c r="I69" s="2" t="n">
        <v>0</v>
      </c>
      <c r="J69" s="4" t="n">
        <f aca="false">IF(G69="Divergente",ABS(F69),0)</f>
        <v>0</v>
      </c>
    </row>
    <row r="70" customFormat="false" ht="15" hidden="false" customHeight="false" outlineLevel="0" collapsed="false">
      <c r="A70" s="2" t="s">
        <v>91</v>
      </c>
      <c r="B70" s="2" t="s">
        <v>22</v>
      </c>
      <c r="C70" s="3" t="n">
        <v>46200</v>
      </c>
      <c r="D70" s="4" t="n">
        <v>208127.32</v>
      </c>
      <c r="E70" s="4" t="n">
        <v>208127.32</v>
      </c>
      <c r="F70" s="5" t="n">
        <f aca="false">IF(E70="","",E70-D70)</f>
        <v>0</v>
      </c>
      <c r="G70" s="2" t="s">
        <v>15</v>
      </c>
      <c r="H70" s="2"/>
      <c r="I70" s="2" t="n">
        <v>0</v>
      </c>
      <c r="J70" s="4" t="n">
        <f aca="false">IF(G70="Divergente",ABS(F70),0)</f>
        <v>0</v>
      </c>
    </row>
    <row r="71" customFormat="false" ht="15" hidden="false" customHeight="false" outlineLevel="0" collapsed="false">
      <c r="A71" s="2" t="s">
        <v>92</v>
      </c>
      <c r="B71" s="2" t="s">
        <v>24</v>
      </c>
      <c r="C71" s="3" t="n">
        <v>46200</v>
      </c>
      <c r="D71" s="4" t="n">
        <v>356159.4</v>
      </c>
      <c r="E71" s="4" t="n">
        <v>712318.8</v>
      </c>
      <c r="F71" s="5" t="n">
        <f aca="false">IF(E71="","",E71-D71)</f>
        <v>356159.4</v>
      </c>
      <c r="G71" s="2" t="s">
        <v>17</v>
      </c>
      <c r="H71" s="2" t="s">
        <v>54</v>
      </c>
      <c r="I71" s="2" t="n">
        <v>0</v>
      </c>
      <c r="J71" s="4" t="n">
        <f aca="false">IF(G71="Divergente",ABS(F71),0)</f>
        <v>356159.4</v>
      </c>
    </row>
    <row r="72" customFormat="false" ht="15" hidden="false" customHeight="false" outlineLevel="0" collapsed="false">
      <c r="A72" s="2" t="s">
        <v>93</v>
      </c>
      <c r="B72" s="2" t="s">
        <v>11</v>
      </c>
      <c r="C72" s="3" t="n">
        <v>46201</v>
      </c>
      <c r="D72" s="4" t="n">
        <v>295865.54</v>
      </c>
      <c r="E72" s="4" t="n">
        <v>295865.54</v>
      </c>
      <c r="F72" s="5" t="n">
        <f aca="false">IF(E72="","",E72-D72)</f>
        <v>0</v>
      </c>
      <c r="G72" s="2" t="s">
        <v>15</v>
      </c>
      <c r="H72" s="2"/>
      <c r="I72" s="2" t="n">
        <v>0</v>
      </c>
      <c r="J72" s="4" t="n">
        <f aca="false">IF(G72="Divergente",ABS(F72),0)</f>
        <v>0</v>
      </c>
    </row>
    <row r="73" customFormat="false" ht="15" hidden="false" customHeight="false" outlineLevel="0" collapsed="false">
      <c r="A73" s="2" t="s">
        <v>94</v>
      </c>
      <c r="B73" s="2" t="s">
        <v>22</v>
      </c>
      <c r="C73" s="3" t="n">
        <v>46201</v>
      </c>
      <c r="D73" s="4" t="n">
        <v>95778.44</v>
      </c>
      <c r="E73" s="4" t="n">
        <v>95778.44</v>
      </c>
      <c r="F73" s="5" t="n">
        <f aca="false">IF(E73="","",E73-D73)</f>
        <v>0</v>
      </c>
      <c r="G73" s="2" t="s">
        <v>15</v>
      </c>
      <c r="H73" s="2"/>
      <c r="I73" s="2" t="n">
        <v>0</v>
      </c>
      <c r="J73" s="4" t="n">
        <f aca="false">IF(G73="Divergente",ABS(F73),0)</f>
        <v>0</v>
      </c>
    </row>
    <row r="74" customFormat="false" ht="15" hidden="false" customHeight="false" outlineLevel="0" collapsed="false">
      <c r="A74" s="2" t="s">
        <v>95</v>
      </c>
      <c r="B74" s="2" t="s">
        <v>37</v>
      </c>
      <c r="C74" s="3" t="n">
        <v>46201</v>
      </c>
      <c r="D74" s="4" t="n">
        <v>325770.73</v>
      </c>
      <c r="E74" s="4" t="n">
        <v>325770.73</v>
      </c>
      <c r="F74" s="5" t="n">
        <f aca="false">IF(E74="","",E74-D74)</f>
        <v>0</v>
      </c>
      <c r="G74" s="2" t="s">
        <v>15</v>
      </c>
      <c r="H74" s="2"/>
      <c r="I74" s="2" t="n">
        <v>0</v>
      </c>
      <c r="J74" s="4" t="n">
        <f aca="false">IF(G74="Divergente",ABS(F74),0)</f>
        <v>0</v>
      </c>
    </row>
    <row r="75" customFormat="false" ht="15" hidden="false" customHeight="false" outlineLevel="0" collapsed="false">
      <c r="A75" s="2" t="s">
        <v>96</v>
      </c>
      <c r="B75" s="2" t="s">
        <v>14</v>
      </c>
      <c r="C75" s="3" t="n">
        <v>46201</v>
      </c>
      <c r="D75" s="4" t="n">
        <v>276728.5</v>
      </c>
      <c r="E75" s="4"/>
      <c r="F75" s="5" t="str">
        <f aca="false">IF(E75="","",E75-D75)</f>
        <v/>
      </c>
      <c r="G75" s="2" t="s">
        <v>12</v>
      </c>
      <c r="H75" s="2"/>
      <c r="I75" s="2" t="n">
        <v>0</v>
      </c>
      <c r="J75" s="4" t="n">
        <f aca="false">IF(G75="Divergente",ABS(F75),0)</f>
        <v>0</v>
      </c>
    </row>
    <row r="76" customFormat="false" ht="15" hidden="false" customHeight="false" outlineLevel="0" collapsed="false">
      <c r="A76" s="2" t="s">
        <v>97</v>
      </c>
      <c r="B76" s="2" t="s">
        <v>14</v>
      </c>
      <c r="C76" s="3" t="n">
        <v>46202</v>
      </c>
      <c r="D76" s="4" t="n">
        <v>367273.3</v>
      </c>
      <c r="E76" s="4" t="n">
        <v>734546.6</v>
      </c>
      <c r="F76" s="5" t="n">
        <f aca="false">IF(E76="","",E76-D76)</f>
        <v>367273.3</v>
      </c>
      <c r="G76" s="2" t="s">
        <v>17</v>
      </c>
      <c r="H76" s="2" t="s">
        <v>54</v>
      </c>
      <c r="I76" s="2" t="n">
        <v>0</v>
      </c>
      <c r="J76" s="4" t="n">
        <f aca="false">IF(G76="Divergente",ABS(F76),0)</f>
        <v>367273.3</v>
      </c>
    </row>
    <row r="77" customFormat="false" ht="15" hidden="false" customHeight="false" outlineLevel="0" collapsed="false">
      <c r="A77" s="2" t="s">
        <v>98</v>
      </c>
      <c r="B77" s="2" t="s">
        <v>11</v>
      </c>
      <c r="C77" s="3" t="n">
        <v>46202</v>
      </c>
      <c r="D77" s="4" t="n">
        <v>42597.18</v>
      </c>
      <c r="E77" s="4" t="n">
        <v>42597.18</v>
      </c>
      <c r="F77" s="5" t="n">
        <f aca="false">IF(E77="","",E77-D77)</f>
        <v>0</v>
      </c>
      <c r="G77" s="2" t="s">
        <v>15</v>
      </c>
      <c r="H77" s="2"/>
      <c r="I77" s="2" t="n">
        <v>0</v>
      </c>
      <c r="J77" s="4" t="n">
        <f aca="false">IF(G77="Divergente",ABS(F77),0)</f>
        <v>0</v>
      </c>
    </row>
    <row r="78" customFormat="false" ht="15" hidden="false" customHeight="false" outlineLevel="0" collapsed="false">
      <c r="A78" s="2" t="s">
        <v>99</v>
      </c>
      <c r="B78" s="2" t="s">
        <v>14</v>
      </c>
      <c r="C78" s="3" t="n">
        <v>46202</v>
      </c>
      <c r="D78" s="4" t="n">
        <v>138242.73</v>
      </c>
      <c r="E78" s="4" t="n">
        <v>138242.73</v>
      </c>
      <c r="F78" s="5" t="n">
        <f aca="false">IF(E78="","",E78-D78)</f>
        <v>0</v>
      </c>
      <c r="G78" s="2" t="s">
        <v>15</v>
      </c>
      <c r="H78" s="2"/>
      <c r="I78" s="2" t="n">
        <v>0</v>
      </c>
      <c r="J78" s="4" t="n">
        <f aca="false">IF(G78="Divergente",ABS(F78),0)</f>
        <v>0</v>
      </c>
    </row>
    <row r="79" customFormat="false" ht="15" hidden="false" customHeight="false" outlineLevel="0" collapsed="false">
      <c r="A79" s="2" t="s">
        <v>100</v>
      </c>
      <c r="B79" s="2" t="s">
        <v>31</v>
      </c>
      <c r="C79" s="3" t="n">
        <v>46202</v>
      </c>
      <c r="D79" s="4" t="n">
        <v>274958.74</v>
      </c>
      <c r="E79" s="4" t="n">
        <v>274958.74</v>
      </c>
      <c r="F79" s="5" t="n">
        <f aca="false">IF(E79="","",E79-D79)</f>
        <v>0</v>
      </c>
      <c r="G79" s="2" t="s">
        <v>15</v>
      </c>
      <c r="H79" s="2"/>
      <c r="I79" s="2" t="n">
        <v>0</v>
      </c>
      <c r="J79" s="4" t="n">
        <f aca="false">IF(G79="Divergente",ABS(F79),0)</f>
        <v>0</v>
      </c>
    </row>
    <row r="80" customFormat="false" ht="15" hidden="false" customHeight="false" outlineLevel="0" collapsed="false">
      <c r="A80" s="2" t="s">
        <v>101</v>
      </c>
      <c r="B80" s="2" t="s">
        <v>22</v>
      </c>
      <c r="C80" s="3" t="n">
        <v>46203</v>
      </c>
      <c r="D80" s="4" t="n">
        <v>189202.81</v>
      </c>
      <c r="E80" s="4" t="n">
        <v>189202.81</v>
      </c>
      <c r="F80" s="5" t="n">
        <f aca="false">IF(E80="","",E80-D80)</f>
        <v>0</v>
      </c>
      <c r="G80" s="2" t="s">
        <v>15</v>
      </c>
      <c r="H80" s="2"/>
      <c r="I80" s="2" t="n">
        <v>0</v>
      </c>
      <c r="J80" s="4" t="n">
        <f aca="false">IF(G80="Divergente",ABS(F80),0)</f>
        <v>0</v>
      </c>
    </row>
    <row r="81" customFormat="false" ht="15" hidden="false" customHeight="false" outlineLevel="0" collapsed="false">
      <c r="A81" s="2" t="s">
        <v>102</v>
      </c>
      <c r="B81" s="2" t="s">
        <v>14</v>
      </c>
      <c r="C81" s="3" t="n">
        <v>46203</v>
      </c>
      <c r="D81" s="4" t="n">
        <v>396771.16</v>
      </c>
      <c r="E81" s="4" t="n">
        <v>396771.16</v>
      </c>
      <c r="F81" s="5" t="n">
        <f aca="false">IF(E81="","",E81-D81)</f>
        <v>0</v>
      </c>
      <c r="G81" s="2" t="s">
        <v>15</v>
      </c>
      <c r="H81" s="2"/>
      <c r="I81" s="2" t="n">
        <v>0</v>
      </c>
      <c r="J81" s="4" t="n">
        <f aca="false">IF(G81="Divergente",ABS(F81),0)</f>
        <v>0</v>
      </c>
    </row>
    <row r="82" customFormat="false" ht="15" hidden="false" customHeight="false" outlineLevel="0" collapsed="false">
      <c r="A82" s="2" t="s">
        <v>103</v>
      </c>
      <c r="B82" s="2" t="s">
        <v>14</v>
      </c>
      <c r="C82" s="3" t="n">
        <v>46203</v>
      </c>
      <c r="D82" s="4" t="n">
        <v>88843.47</v>
      </c>
      <c r="E82" s="4" t="n">
        <v>94142.88</v>
      </c>
      <c r="F82" s="5" t="n">
        <f aca="false">IF(E82="","",E82-D82)</f>
        <v>5299.41</v>
      </c>
      <c r="G82" s="2" t="s">
        <v>17</v>
      </c>
      <c r="H82" s="2" t="s">
        <v>28</v>
      </c>
      <c r="I82" s="2" t="n">
        <v>0</v>
      </c>
      <c r="J82" s="4" t="n">
        <f aca="false">IF(G82="Divergente",ABS(F82),0)</f>
        <v>5299.41</v>
      </c>
    </row>
    <row r="83" customFormat="false" ht="15" hidden="false" customHeight="false" outlineLevel="0" collapsed="false">
      <c r="A83" s="2" t="s">
        <v>104</v>
      </c>
      <c r="B83" s="2" t="s">
        <v>11</v>
      </c>
      <c r="C83" s="3" t="n">
        <v>46203</v>
      </c>
      <c r="D83" s="4" t="n">
        <v>303849.59</v>
      </c>
      <c r="E83" s="4" t="n">
        <v>303849.59</v>
      </c>
      <c r="F83" s="5" t="n">
        <f aca="false">IF(E83="","",E83-D83)</f>
        <v>0</v>
      </c>
      <c r="G83" s="2" t="s">
        <v>15</v>
      </c>
      <c r="H83" s="2"/>
      <c r="I83" s="2" t="n">
        <v>0</v>
      </c>
      <c r="J83" s="4" t="n">
        <f aca="false">IF(G83="Divergente",ABS(F83),0)</f>
        <v>0</v>
      </c>
    </row>
    <row r="84" customFormat="false" ht="15" hidden="false" customHeight="false" outlineLevel="0" collapsed="false">
      <c r="A84" s="2" t="s">
        <v>105</v>
      </c>
      <c r="B84" s="2" t="s">
        <v>11</v>
      </c>
      <c r="C84" s="3" t="n">
        <v>46204</v>
      </c>
      <c r="D84" s="4" t="n">
        <v>93701.54</v>
      </c>
      <c r="E84" s="4" t="n">
        <v>93701.54</v>
      </c>
      <c r="F84" s="5" t="n">
        <f aca="false">IF(E84="","",E84-D84)</f>
        <v>0</v>
      </c>
      <c r="G84" s="2" t="s">
        <v>15</v>
      </c>
      <c r="H84" s="2"/>
      <c r="I84" s="2" t="n">
        <v>0</v>
      </c>
      <c r="J84" s="4" t="n">
        <f aca="false">IF(G84="Divergente",ABS(F84),0)</f>
        <v>0</v>
      </c>
    </row>
    <row r="85" customFormat="false" ht="15" hidden="false" customHeight="false" outlineLevel="0" collapsed="false">
      <c r="A85" s="2" t="s">
        <v>106</v>
      </c>
      <c r="B85" s="2" t="s">
        <v>24</v>
      </c>
      <c r="C85" s="3" t="n">
        <v>46204</v>
      </c>
      <c r="D85" s="4" t="n">
        <v>280414.03</v>
      </c>
      <c r="E85" s="4" t="n">
        <v>280414.03</v>
      </c>
      <c r="F85" s="5" t="n">
        <f aca="false">IF(E85="","",E85-D85)</f>
        <v>0</v>
      </c>
      <c r="G85" s="2" t="s">
        <v>15</v>
      </c>
      <c r="H85" s="2"/>
      <c r="I85" s="2" t="n">
        <v>0</v>
      </c>
      <c r="J85" s="4" t="n">
        <f aca="false">IF(G85="Divergente",ABS(F85),0)</f>
        <v>0</v>
      </c>
    </row>
    <row r="86" customFormat="false" ht="15" hidden="false" customHeight="false" outlineLevel="0" collapsed="false">
      <c r="A86" s="2" t="s">
        <v>107</v>
      </c>
      <c r="B86" s="2" t="s">
        <v>14</v>
      </c>
      <c r="C86" s="3" t="n">
        <v>46204</v>
      </c>
      <c r="D86" s="4" t="n">
        <v>268826.86</v>
      </c>
      <c r="E86" s="4" t="n">
        <v>268826.86</v>
      </c>
      <c r="F86" s="5" t="n">
        <f aca="false">IF(E86="","",E86-D86)</f>
        <v>0</v>
      </c>
      <c r="G86" s="2" t="s">
        <v>15</v>
      </c>
      <c r="H86" s="2"/>
      <c r="I86" s="2" t="n">
        <v>0</v>
      </c>
      <c r="J86" s="4" t="n">
        <f aca="false">IF(G86="Divergente",ABS(F86),0)</f>
        <v>0</v>
      </c>
    </row>
    <row r="87" customFormat="false" ht="15" hidden="false" customHeight="false" outlineLevel="0" collapsed="false">
      <c r="A87" s="2" t="s">
        <v>108</v>
      </c>
      <c r="B87" s="2" t="s">
        <v>24</v>
      </c>
      <c r="C87" s="3" t="n">
        <v>46204</v>
      </c>
      <c r="D87" s="4" t="n">
        <v>427452.52</v>
      </c>
      <c r="E87" s="4" t="n">
        <v>854905.04</v>
      </c>
      <c r="F87" s="5" t="n">
        <f aca="false">IF(E87="","",E87-D87)</f>
        <v>427452.52</v>
      </c>
      <c r="G87" s="2" t="s">
        <v>17</v>
      </c>
      <c r="H87" s="2" t="s">
        <v>54</v>
      </c>
      <c r="I87" s="2" t="n">
        <v>0</v>
      </c>
      <c r="J87" s="4" t="n">
        <f aca="false">IF(G87="Divergente",ABS(F87),0)</f>
        <v>427452.52</v>
      </c>
    </row>
    <row r="88" customFormat="false" ht="15" hidden="false" customHeight="false" outlineLevel="0" collapsed="false">
      <c r="A88" s="2" t="s">
        <v>109</v>
      </c>
      <c r="B88" s="2" t="s">
        <v>31</v>
      </c>
      <c r="C88" s="3" t="n">
        <v>46204</v>
      </c>
      <c r="D88" s="4" t="n">
        <v>48989.5</v>
      </c>
      <c r="E88" s="4" t="n">
        <v>48989.5</v>
      </c>
      <c r="F88" s="5" t="n">
        <f aca="false">IF(E88="","",E88-D88)</f>
        <v>0</v>
      </c>
      <c r="G88" s="2" t="s">
        <v>17</v>
      </c>
      <c r="H88" s="2" t="s">
        <v>18</v>
      </c>
      <c r="I88" s="2" t="n">
        <v>6</v>
      </c>
      <c r="J88" s="4" t="n">
        <f aca="false">IF(G88="Divergente",ABS(F88),0)</f>
        <v>0</v>
      </c>
    </row>
    <row r="89" customFormat="false" ht="15" hidden="false" customHeight="false" outlineLevel="0" collapsed="false">
      <c r="A89" s="2" t="s">
        <v>110</v>
      </c>
      <c r="B89" s="2" t="s">
        <v>24</v>
      </c>
      <c r="C89" s="3" t="n">
        <v>46205</v>
      </c>
      <c r="D89" s="4" t="n">
        <v>229461.78</v>
      </c>
      <c r="E89" s="4" t="n">
        <v>229461.78</v>
      </c>
      <c r="F89" s="5" t="n">
        <f aca="false">IF(E89="","",E89-D89)</f>
        <v>0</v>
      </c>
      <c r="G89" s="2" t="s">
        <v>15</v>
      </c>
      <c r="H89" s="2"/>
      <c r="I89" s="2" t="n">
        <v>0</v>
      </c>
      <c r="J89" s="4" t="n">
        <f aca="false">IF(G89="Divergente",ABS(F89),0)</f>
        <v>0</v>
      </c>
    </row>
    <row r="90" customFormat="false" ht="15" hidden="false" customHeight="false" outlineLevel="0" collapsed="false">
      <c r="A90" s="2" t="s">
        <v>111</v>
      </c>
      <c r="B90" s="2" t="s">
        <v>14</v>
      </c>
      <c r="C90" s="3" t="n">
        <v>46205</v>
      </c>
      <c r="D90" s="4" t="n">
        <v>302761.96</v>
      </c>
      <c r="E90" s="4" t="n">
        <v>302761.96</v>
      </c>
      <c r="F90" s="5" t="n">
        <f aca="false">IF(E90="","",E90-D90)</f>
        <v>0</v>
      </c>
      <c r="G90" s="2" t="s">
        <v>15</v>
      </c>
      <c r="H90" s="2"/>
      <c r="I90" s="2" t="n">
        <v>0</v>
      </c>
      <c r="J90" s="4" t="n">
        <f aca="false">IF(G90="Divergente",ABS(F90),0)</f>
        <v>0</v>
      </c>
    </row>
    <row r="91" customFormat="false" ht="15" hidden="false" customHeight="false" outlineLevel="0" collapsed="false">
      <c r="A91" s="2" t="s">
        <v>112</v>
      </c>
      <c r="B91" s="2" t="s">
        <v>31</v>
      </c>
      <c r="C91" s="3" t="n">
        <v>46205</v>
      </c>
      <c r="D91" s="4" t="n">
        <v>233555.61</v>
      </c>
      <c r="E91" s="4" t="n">
        <v>233555.61</v>
      </c>
      <c r="F91" s="5" t="n">
        <f aca="false">IF(E91="","",E91-D91)</f>
        <v>0</v>
      </c>
      <c r="G91" s="2" t="s">
        <v>15</v>
      </c>
      <c r="H91" s="2"/>
      <c r="I91" s="2" t="n">
        <v>0</v>
      </c>
      <c r="J91" s="4" t="n">
        <f aca="false">IF(G91="Divergente",ABS(F91),0)</f>
        <v>0</v>
      </c>
    </row>
    <row r="92" customFormat="false" ht="15" hidden="false" customHeight="false" outlineLevel="0" collapsed="false">
      <c r="A92" s="2" t="s">
        <v>113</v>
      </c>
      <c r="B92" s="2" t="s">
        <v>37</v>
      </c>
      <c r="C92" s="3" t="n">
        <v>46205</v>
      </c>
      <c r="D92" s="4" t="n">
        <v>258488.34</v>
      </c>
      <c r="E92" s="4" t="n">
        <v>258488.34</v>
      </c>
      <c r="F92" s="5" t="n">
        <f aca="false">IF(E92="","",E92-D92)</f>
        <v>0</v>
      </c>
      <c r="G92" s="2" t="s">
        <v>15</v>
      </c>
      <c r="H92" s="2"/>
      <c r="I92" s="2" t="n">
        <v>0</v>
      </c>
      <c r="J92" s="4" t="n">
        <f aca="false">IF(G92="Divergente",ABS(F92),0)</f>
        <v>0</v>
      </c>
    </row>
    <row r="93" customFormat="false" ht="15" hidden="false" customHeight="false" outlineLevel="0" collapsed="false">
      <c r="A93" s="2" t="s">
        <v>114</v>
      </c>
      <c r="B93" s="2" t="s">
        <v>31</v>
      </c>
      <c r="C93" s="3" t="n">
        <v>46206</v>
      </c>
      <c r="D93" s="4" t="n">
        <v>445252.9</v>
      </c>
      <c r="E93" s="4" t="n">
        <v>445252.9</v>
      </c>
      <c r="F93" s="5" t="n">
        <f aca="false">IF(E93="","",E93-D93)</f>
        <v>0</v>
      </c>
      <c r="G93" s="2" t="s">
        <v>15</v>
      </c>
      <c r="H93" s="2"/>
      <c r="I93" s="2" t="n">
        <v>0</v>
      </c>
      <c r="J93" s="4" t="n">
        <f aca="false">IF(G93="Divergente",ABS(F93),0)</f>
        <v>0</v>
      </c>
    </row>
    <row r="94" customFormat="false" ht="15" hidden="false" customHeight="false" outlineLevel="0" collapsed="false">
      <c r="A94" s="2" t="s">
        <v>115</v>
      </c>
      <c r="B94" s="2" t="s">
        <v>11</v>
      </c>
      <c r="C94" s="3" t="n">
        <v>46206</v>
      </c>
      <c r="D94" s="4" t="n">
        <v>407999.9</v>
      </c>
      <c r="E94" s="4" t="n">
        <v>400973.45</v>
      </c>
      <c r="F94" s="5" t="n">
        <f aca="false">IF(E94="","",E94-D94)</f>
        <v>-7026.45000000001</v>
      </c>
      <c r="G94" s="2" t="s">
        <v>17</v>
      </c>
      <c r="H94" s="2" t="s">
        <v>28</v>
      </c>
      <c r="I94" s="2" t="n">
        <v>0</v>
      </c>
      <c r="J94" s="4" t="n">
        <f aca="false">IF(G94="Divergente",ABS(F94),0)</f>
        <v>7026.45000000001</v>
      </c>
    </row>
    <row r="95" customFormat="false" ht="15" hidden="false" customHeight="false" outlineLevel="0" collapsed="false">
      <c r="A95" s="2" t="s">
        <v>116</v>
      </c>
      <c r="B95" s="2" t="s">
        <v>31</v>
      </c>
      <c r="C95" s="3" t="n">
        <v>46206</v>
      </c>
      <c r="D95" s="4" t="n">
        <v>62645.74</v>
      </c>
      <c r="E95" s="4" t="n">
        <v>62645.74</v>
      </c>
      <c r="F95" s="5" t="n">
        <f aca="false">IF(E95="","",E95-D95)</f>
        <v>0</v>
      </c>
      <c r="G95" s="2" t="s">
        <v>15</v>
      </c>
      <c r="H95" s="2"/>
      <c r="I95" s="2" t="n">
        <v>0</v>
      </c>
      <c r="J95" s="4" t="n">
        <f aca="false">IF(G95="Divergente",ABS(F95),0)</f>
        <v>0</v>
      </c>
    </row>
    <row r="96" customFormat="false" ht="15" hidden="false" customHeight="false" outlineLevel="0" collapsed="false">
      <c r="A96" s="2" t="s">
        <v>117</v>
      </c>
      <c r="B96" s="2" t="s">
        <v>24</v>
      </c>
      <c r="C96" s="3" t="n">
        <v>46206</v>
      </c>
      <c r="D96" s="4" t="n">
        <v>125710.41</v>
      </c>
      <c r="E96" s="4" t="n">
        <v>125710.41</v>
      </c>
      <c r="F96" s="5" t="n">
        <f aca="false">IF(E96="","",E96-D96)</f>
        <v>0</v>
      </c>
      <c r="G96" s="2" t="s">
        <v>15</v>
      </c>
      <c r="H96" s="2"/>
      <c r="I96" s="2" t="n">
        <v>0</v>
      </c>
      <c r="J96" s="4" t="n">
        <f aca="false">IF(G96="Divergente",ABS(F96),0)</f>
        <v>0</v>
      </c>
    </row>
    <row r="97" customFormat="false" ht="15" hidden="false" customHeight="false" outlineLevel="0" collapsed="false">
      <c r="A97" s="2" t="s">
        <v>118</v>
      </c>
      <c r="B97" s="2" t="s">
        <v>24</v>
      </c>
      <c r="C97" s="3" t="n">
        <v>46206</v>
      </c>
      <c r="D97" s="4" t="n">
        <v>0</v>
      </c>
      <c r="E97" s="4" t="n">
        <v>433661.89</v>
      </c>
      <c r="F97" s="5" t="n">
        <f aca="false">IF(E97="","",E97-D97)</f>
        <v>433661.89</v>
      </c>
      <c r="G97" s="2" t="s">
        <v>17</v>
      </c>
      <c r="H97" s="2" t="s">
        <v>34</v>
      </c>
      <c r="I97" s="2" t="n">
        <v>0</v>
      </c>
      <c r="J97" s="4" t="n">
        <f aca="false">IF(G97="Divergente",ABS(F97),0)</f>
        <v>433661.89</v>
      </c>
    </row>
    <row r="98" customFormat="false" ht="15" hidden="false" customHeight="false" outlineLevel="0" collapsed="false">
      <c r="A98" s="2" t="s">
        <v>119</v>
      </c>
      <c r="B98" s="2" t="s">
        <v>11</v>
      </c>
      <c r="C98" s="3" t="n">
        <v>46206</v>
      </c>
      <c r="D98" s="4" t="n">
        <v>143898.53</v>
      </c>
      <c r="E98" s="4" t="n">
        <v>143898.53</v>
      </c>
      <c r="F98" s="5" t="n">
        <f aca="false">IF(E98="","",E98-D98)</f>
        <v>0</v>
      </c>
      <c r="G98" s="2" t="s">
        <v>17</v>
      </c>
      <c r="H98" s="2" t="s">
        <v>18</v>
      </c>
      <c r="I98" s="2" t="n">
        <v>3</v>
      </c>
      <c r="J98" s="4" t="n">
        <f aca="false">IF(G98="Divergente",ABS(F98),0)</f>
        <v>0</v>
      </c>
    </row>
    <row r="99" customFormat="false" ht="15" hidden="false" customHeight="false" outlineLevel="0" collapsed="false">
      <c r="A99" s="2" t="s">
        <v>120</v>
      </c>
      <c r="B99" s="2" t="s">
        <v>22</v>
      </c>
      <c r="C99" s="3" t="n">
        <v>46206</v>
      </c>
      <c r="D99" s="4" t="n">
        <v>458626.86</v>
      </c>
      <c r="E99" s="4" t="n">
        <v>458626.86</v>
      </c>
      <c r="F99" s="5" t="n">
        <f aca="false">IF(E99="","",E99-D99)</f>
        <v>0</v>
      </c>
      <c r="G99" s="2" t="s">
        <v>15</v>
      </c>
      <c r="H99" s="2"/>
      <c r="I99" s="2" t="n">
        <v>0</v>
      </c>
      <c r="J99" s="4" t="n">
        <f aca="false">IF(G99="Divergente",ABS(F99),0)</f>
        <v>0</v>
      </c>
    </row>
    <row r="100" customFormat="false" ht="15" hidden="false" customHeight="false" outlineLevel="0" collapsed="false">
      <c r="A100" s="2" t="s">
        <v>121</v>
      </c>
      <c r="B100" s="2" t="s">
        <v>37</v>
      </c>
      <c r="C100" s="3" t="n">
        <v>46206</v>
      </c>
      <c r="D100" s="4" t="n">
        <v>103257.83</v>
      </c>
      <c r="E100" s="4" t="n">
        <v>103257.83</v>
      </c>
      <c r="F100" s="5" t="n">
        <f aca="false">IF(E100="","",E100-D100)</f>
        <v>0</v>
      </c>
      <c r="G100" s="2" t="s">
        <v>15</v>
      </c>
      <c r="H100" s="2"/>
      <c r="I100" s="2" t="n">
        <v>0</v>
      </c>
      <c r="J100" s="4" t="n">
        <f aca="false">IF(G100="Divergente",ABS(F100),0)</f>
        <v>0</v>
      </c>
    </row>
    <row r="101" customFormat="false" ht="15" hidden="false" customHeight="false" outlineLevel="0" collapsed="false">
      <c r="A101" s="2" t="s">
        <v>122</v>
      </c>
      <c r="B101" s="2" t="s">
        <v>11</v>
      </c>
      <c r="C101" s="3" t="n">
        <v>46207</v>
      </c>
      <c r="D101" s="4" t="n">
        <v>347845.6</v>
      </c>
      <c r="E101" s="4" t="n">
        <v>347845.6</v>
      </c>
      <c r="F101" s="5" t="n">
        <f aca="false">IF(E101="","",E101-D101)</f>
        <v>0</v>
      </c>
      <c r="G101" s="2" t="s">
        <v>15</v>
      </c>
      <c r="H101" s="2"/>
      <c r="I101" s="2" t="n">
        <v>0</v>
      </c>
      <c r="J101" s="4" t="n">
        <f aca="false">IF(G101="Divergente",ABS(F101),0)</f>
        <v>0</v>
      </c>
    </row>
    <row r="102" customFormat="false" ht="15" hidden="false" customHeight="false" outlineLevel="0" collapsed="false">
      <c r="A102" s="2" t="s">
        <v>123</v>
      </c>
      <c r="B102" s="2" t="s">
        <v>37</v>
      </c>
      <c r="C102" s="3" t="n">
        <v>46207</v>
      </c>
      <c r="D102" s="4" t="n">
        <v>182602.26</v>
      </c>
      <c r="E102" s="4" t="n">
        <v>182602.26</v>
      </c>
      <c r="F102" s="5" t="n">
        <f aca="false">IF(E102="","",E102-D102)</f>
        <v>0</v>
      </c>
      <c r="G102" s="2" t="s">
        <v>15</v>
      </c>
      <c r="H102" s="2"/>
      <c r="I102" s="2" t="n">
        <v>0</v>
      </c>
      <c r="J102" s="4" t="n">
        <f aca="false">IF(G102="Divergente",ABS(F102),0)</f>
        <v>0</v>
      </c>
    </row>
    <row r="103" customFormat="false" ht="15" hidden="false" customHeight="false" outlineLevel="0" collapsed="false">
      <c r="A103" s="2" t="s">
        <v>124</v>
      </c>
      <c r="B103" s="2" t="s">
        <v>31</v>
      </c>
      <c r="C103" s="3" t="n">
        <v>46207</v>
      </c>
      <c r="D103" s="4" t="n">
        <v>71487.31</v>
      </c>
      <c r="E103" s="4" t="n">
        <v>71487.31</v>
      </c>
      <c r="F103" s="5" t="n">
        <f aca="false">IF(E103="","",E103-D103)</f>
        <v>0</v>
      </c>
      <c r="G103" s="2" t="s">
        <v>15</v>
      </c>
      <c r="H103" s="2"/>
      <c r="I103" s="2" t="n">
        <v>0</v>
      </c>
      <c r="J103" s="4" t="n">
        <f aca="false">IF(G103="Divergente",ABS(F103),0)</f>
        <v>0</v>
      </c>
    </row>
    <row r="104" customFormat="false" ht="15" hidden="false" customHeight="false" outlineLevel="0" collapsed="false">
      <c r="A104" s="2" t="s">
        <v>125</v>
      </c>
      <c r="B104" s="2" t="s">
        <v>31</v>
      </c>
      <c r="C104" s="3" t="n">
        <v>46207</v>
      </c>
      <c r="D104" s="4" t="n">
        <v>279322.61</v>
      </c>
      <c r="E104" s="4" t="n">
        <v>279322.61</v>
      </c>
      <c r="F104" s="5" t="n">
        <f aca="false">IF(E104="","",E104-D104)</f>
        <v>0</v>
      </c>
      <c r="G104" s="2" t="s">
        <v>15</v>
      </c>
      <c r="H104" s="2"/>
      <c r="I104" s="2" t="n">
        <v>0</v>
      </c>
      <c r="J104" s="4" t="n">
        <f aca="false">IF(G104="Divergente",ABS(F104),0)</f>
        <v>0</v>
      </c>
    </row>
    <row r="105" customFormat="false" ht="15" hidden="false" customHeight="false" outlineLevel="0" collapsed="false">
      <c r="A105" s="2" t="s">
        <v>126</v>
      </c>
      <c r="B105" s="2" t="s">
        <v>24</v>
      </c>
      <c r="C105" s="3" t="n">
        <v>46207</v>
      </c>
      <c r="D105" s="4" t="n">
        <v>202955.05</v>
      </c>
      <c r="E105" s="4" t="n">
        <v>202955.05</v>
      </c>
      <c r="F105" s="5" t="n">
        <f aca="false">IF(E105="","",E105-D105)</f>
        <v>0</v>
      </c>
      <c r="G105" s="2" t="s">
        <v>15</v>
      </c>
      <c r="H105" s="2"/>
      <c r="I105" s="2" t="n">
        <v>0</v>
      </c>
      <c r="J105" s="4" t="n">
        <f aca="false">IF(G105="Divergente",ABS(F105),0)</f>
        <v>0</v>
      </c>
    </row>
    <row r="106" customFormat="false" ht="15" hidden="false" customHeight="false" outlineLevel="0" collapsed="false">
      <c r="A106" s="2" t="s">
        <v>127</v>
      </c>
      <c r="B106" s="2" t="s">
        <v>14</v>
      </c>
      <c r="C106" s="3" t="n">
        <v>46208</v>
      </c>
      <c r="D106" s="4" t="n">
        <v>462348.62</v>
      </c>
      <c r="E106" s="4" t="n">
        <v>924697.24</v>
      </c>
      <c r="F106" s="5" t="n">
        <f aca="false">IF(E106="","",E106-D106)</f>
        <v>462348.62</v>
      </c>
      <c r="G106" s="2" t="s">
        <v>17</v>
      </c>
      <c r="H106" s="2" t="s">
        <v>54</v>
      </c>
      <c r="I106" s="2" t="n">
        <v>0</v>
      </c>
      <c r="J106" s="4" t="n">
        <f aca="false">IF(G106="Divergente",ABS(F106),0)</f>
        <v>462348.62</v>
      </c>
    </row>
    <row r="107" customFormat="false" ht="15" hidden="false" customHeight="false" outlineLevel="0" collapsed="false">
      <c r="A107" s="2" t="s">
        <v>128</v>
      </c>
      <c r="B107" s="2" t="s">
        <v>24</v>
      </c>
      <c r="C107" s="3" t="n">
        <v>46208</v>
      </c>
      <c r="D107" s="4" t="n">
        <v>67827.57</v>
      </c>
      <c r="E107" s="4" t="n">
        <v>67827.57</v>
      </c>
      <c r="F107" s="5" t="n">
        <f aca="false">IF(E107="","",E107-D107)</f>
        <v>0</v>
      </c>
      <c r="G107" s="2" t="s">
        <v>15</v>
      </c>
      <c r="H107" s="2"/>
      <c r="I107" s="2" t="n">
        <v>0</v>
      </c>
      <c r="J107" s="4" t="n">
        <f aca="false">IF(G107="Divergente",ABS(F107),0)</f>
        <v>0</v>
      </c>
    </row>
    <row r="108" customFormat="false" ht="15" hidden="false" customHeight="false" outlineLevel="0" collapsed="false">
      <c r="A108" s="2" t="s">
        <v>129</v>
      </c>
      <c r="B108" s="2" t="s">
        <v>11</v>
      </c>
      <c r="C108" s="3" t="n">
        <v>46208</v>
      </c>
      <c r="D108" s="4" t="n">
        <v>151700.74</v>
      </c>
      <c r="E108" s="4" t="n">
        <v>151700.74</v>
      </c>
      <c r="F108" s="5" t="n">
        <f aca="false">IF(E108="","",E108-D108)</f>
        <v>0</v>
      </c>
      <c r="G108" s="2" t="s">
        <v>17</v>
      </c>
      <c r="H108" s="2" t="s">
        <v>18</v>
      </c>
      <c r="I108" s="2" t="n">
        <v>4</v>
      </c>
      <c r="J108" s="4" t="n">
        <f aca="false">IF(G108="Divergente",ABS(F108),0)</f>
        <v>0</v>
      </c>
    </row>
    <row r="109" customFormat="false" ht="15" hidden="false" customHeight="false" outlineLevel="0" collapsed="false">
      <c r="A109" s="2" t="s">
        <v>130</v>
      </c>
      <c r="B109" s="2" t="s">
        <v>37</v>
      </c>
      <c r="C109" s="3" t="n">
        <v>46208</v>
      </c>
      <c r="D109" s="4" t="n">
        <v>97215.58</v>
      </c>
      <c r="E109" s="4" t="n">
        <v>97215.58</v>
      </c>
      <c r="F109" s="5" t="n">
        <f aca="false">IF(E109="","",E109-D109)</f>
        <v>0</v>
      </c>
      <c r="G109" s="2" t="s">
        <v>15</v>
      </c>
      <c r="H109" s="2"/>
      <c r="I109" s="2" t="n">
        <v>0</v>
      </c>
      <c r="J109" s="4" t="n">
        <f aca="false">IF(G109="Divergente",ABS(F109),0)</f>
        <v>0</v>
      </c>
    </row>
    <row r="110" customFormat="false" ht="15" hidden="false" customHeight="false" outlineLevel="0" collapsed="false">
      <c r="A110" s="2" t="s">
        <v>131</v>
      </c>
      <c r="B110" s="2" t="s">
        <v>14</v>
      </c>
      <c r="C110" s="3" t="n">
        <v>46208</v>
      </c>
      <c r="D110" s="4" t="n">
        <v>252575.42</v>
      </c>
      <c r="E110" s="4" t="n">
        <v>252575.42</v>
      </c>
      <c r="F110" s="5" t="n">
        <f aca="false">IF(E110="","",E110-D110)</f>
        <v>0</v>
      </c>
      <c r="G110" s="2" t="s">
        <v>15</v>
      </c>
      <c r="H110" s="2"/>
      <c r="I110" s="2" t="n">
        <v>0</v>
      </c>
      <c r="J110" s="4" t="n">
        <f aca="false">IF(G110="Divergente",ABS(F110),0)</f>
        <v>0</v>
      </c>
    </row>
    <row r="111" customFormat="false" ht="15" hidden="false" customHeight="false" outlineLevel="0" collapsed="false">
      <c r="A111" s="2" t="s">
        <v>132</v>
      </c>
      <c r="B111" s="2" t="s">
        <v>31</v>
      </c>
      <c r="C111" s="3" t="n">
        <v>46208</v>
      </c>
      <c r="D111" s="4" t="n">
        <v>55886.93</v>
      </c>
      <c r="E111" s="4" t="n">
        <v>55886.93</v>
      </c>
      <c r="F111" s="5" t="n">
        <f aca="false">IF(E111="","",E111-D111)</f>
        <v>0</v>
      </c>
      <c r="G111" s="2" t="s">
        <v>15</v>
      </c>
      <c r="H111" s="2"/>
      <c r="I111" s="2" t="n">
        <v>0</v>
      </c>
      <c r="J111" s="4" t="n">
        <f aca="false">IF(G111="Divergente",ABS(F111),0)</f>
        <v>0</v>
      </c>
    </row>
    <row r="112" customFormat="false" ht="15" hidden="false" customHeight="false" outlineLevel="0" collapsed="false">
      <c r="A112" s="2" t="s">
        <v>133</v>
      </c>
      <c r="B112" s="2" t="s">
        <v>24</v>
      </c>
      <c r="C112" s="3" t="n">
        <v>46209</v>
      </c>
      <c r="D112" s="4" t="n">
        <v>151015.54</v>
      </c>
      <c r="E112" s="4"/>
      <c r="F112" s="5" t="str">
        <f aca="false">IF(E112="","",E112-D112)</f>
        <v/>
      </c>
      <c r="G112" s="2" t="s">
        <v>12</v>
      </c>
      <c r="H112" s="2"/>
      <c r="I112" s="2" t="n">
        <v>0</v>
      </c>
      <c r="J112" s="4" t="n">
        <f aca="false">IF(G112="Divergente",ABS(F112),0)</f>
        <v>0</v>
      </c>
    </row>
    <row r="113" customFormat="false" ht="15" hidden="false" customHeight="false" outlineLevel="0" collapsed="false">
      <c r="A113" s="2" t="s">
        <v>134</v>
      </c>
      <c r="B113" s="2" t="s">
        <v>24</v>
      </c>
      <c r="C113" s="3" t="n">
        <v>46209</v>
      </c>
      <c r="D113" s="4" t="n">
        <v>390732.87</v>
      </c>
      <c r="E113" s="4" t="n">
        <v>781465.74</v>
      </c>
      <c r="F113" s="5" t="n">
        <f aca="false">IF(E113="","",E113-D113)</f>
        <v>390732.87</v>
      </c>
      <c r="G113" s="2" t="s">
        <v>17</v>
      </c>
      <c r="H113" s="2" t="s">
        <v>54</v>
      </c>
      <c r="I113" s="2" t="n">
        <v>0</v>
      </c>
      <c r="J113" s="4" t="n">
        <f aca="false">IF(G113="Divergente",ABS(F113),0)</f>
        <v>390732.87</v>
      </c>
    </row>
    <row r="114" customFormat="false" ht="15" hidden="false" customHeight="false" outlineLevel="0" collapsed="false">
      <c r="A114" s="2" t="s">
        <v>135</v>
      </c>
      <c r="B114" s="2" t="s">
        <v>24</v>
      </c>
      <c r="C114" s="3" t="n">
        <v>46209</v>
      </c>
      <c r="D114" s="4" t="n">
        <v>149002.95</v>
      </c>
      <c r="E114" s="4" t="n">
        <v>145168.25</v>
      </c>
      <c r="F114" s="5" t="n">
        <f aca="false">IF(E114="","",E114-D114)</f>
        <v>-3834.70000000001</v>
      </c>
      <c r="G114" s="2" t="s">
        <v>17</v>
      </c>
      <c r="H114" s="2" t="s">
        <v>28</v>
      </c>
      <c r="I114" s="2" t="n">
        <v>0</v>
      </c>
      <c r="J114" s="4" t="n">
        <f aca="false">IF(G114="Divergente",ABS(F114),0)</f>
        <v>3834.70000000001</v>
      </c>
    </row>
    <row r="115" customFormat="false" ht="15" hidden="false" customHeight="false" outlineLevel="0" collapsed="false">
      <c r="A115" s="2" t="s">
        <v>136</v>
      </c>
      <c r="B115" s="2" t="s">
        <v>14</v>
      </c>
      <c r="C115" s="3" t="n">
        <v>46209</v>
      </c>
      <c r="D115" s="4" t="n">
        <v>217992.15</v>
      </c>
      <c r="E115" s="4" t="n">
        <v>217992.15</v>
      </c>
      <c r="F115" s="5" t="n">
        <f aca="false">IF(E115="","",E115-D115)</f>
        <v>0</v>
      </c>
      <c r="G115" s="2" t="s">
        <v>15</v>
      </c>
      <c r="H115" s="2"/>
      <c r="I115" s="2" t="n">
        <v>0</v>
      </c>
      <c r="J115" s="4" t="n">
        <f aca="false">IF(G115="Divergente",ABS(F115),0)</f>
        <v>0</v>
      </c>
    </row>
    <row r="116" customFormat="false" ht="15" hidden="false" customHeight="false" outlineLevel="0" collapsed="false">
      <c r="A116" s="2" t="s">
        <v>137</v>
      </c>
      <c r="B116" s="2" t="s">
        <v>14</v>
      </c>
      <c r="C116" s="3" t="n">
        <v>46209</v>
      </c>
      <c r="D116" s="4" t="n">
        <v>88151.16</v>
      </c>
      <c r="E116" s="4" t="n">
        <v>88151.16</v>
      </c>
      <c r="F116" s="5" t="n">
        <f aca="false">IF(E116="","",E116-D116)</f>
        <v>0</v>
      </c>
      <c r="G116" s="2" t="s">
        <v>15</v>
      </c>
      <c r="H116" s="2"/>
      <c r="I116" s="2" t="n">
        <v>0</v>
      </c>
      <c r="J116" s="4" t="n">
        <f aca="false">IF(G116="Divergente",ABS(F116),0)</f>
        <v>0</v>
      </c>
    </row>
    <row r="117" customFormat="false" ht="15" hidden="false" customHeight="false" outlineLevel="0" collapsed="false">
      <c r="A117" s="2" t="s">
        <v>138</v>
      </c>
      <c r="B117" s="2" t="s">
        <v>11</v>
      </c>
      <c r="C117" s="3" t="n">
        <v>46209</v>
      </c>
      <c r="D117" s="4" t="n">
        <v>452156.66</v>
      </c>
      <c r="E117" s="4" t="n">
        <v>452156.66</v>
      </c>
      <c r="F117" s="5" t="n">
        <f aca="false">IF(E117="","",E117-D117)</f>
        <v>0</v>
      </c>
      <c r="G117" s="2" t="s">
        <v>15</v>
      </c>
      <c r="H117" s="2"/>
      <c r="I117" s="2" t="n">
        <v>0</v>
      </c>
      <c r="J117" s="4" t="n">
        <f aca="false">IF(G117="Divergente",ABS(F117),0)</f>
        <v>0</v>
      </c>
    </row>
    <row r="118" customFormat="false" ht="15" hidden="false" customHeight="false" outlineLevel="0" collapsed="false">
      <c r="A118" s="2" t="s">
        <v>139</v>
      </c>
      <c r="B118" s="2" t="s">
        <v>31</v>
      </c>
      <c r="C118" s="3" t="n">
        <v>46209</v>
      </c>
      <c r="D118" s="4" t="n">
        <v>52670.87</v>
      </c>
      <c r="E118" s="4" t="n">
        <v>52670.87</v>
      </c>
      <c r="F118" s="5" t="n">
        <f aca="false">IF(E118="","",E118-D118)</f>
        <v>0</v>
      </c>
      <c r="G118" s="2" t="s">
        <v>15</v>
      </c>
      <c r="H118" s="2"/>
      <c r="I118" s="2" t="n">
        <v>0</v>
      </c>
      <c r="J118" s="4" t="n">
        <f aca="false">IF(G118="Divergente",ABS(F118),0)</f>
        <v>0</v>
      </c>
    </row>
    <row r="119" customFormat="false" ht="15" hidden="false" customHeight="false" outlineLevel="0" collapsed="false">
      <c r="A119" s="2" t="s">
        <v>140</v>
      </c>
      <c r="B119" s="2" t="s">
        <v>22</v>
      </c>
      <c r="C119" s="3" t="n">
        <v>46210</v>
      </c>
      <c r="D119" s="4" t="n">
        <v>167252.43</v>
      </c>
      <c r="E119" s="4" t="n">
        <v>167252.43</v>
      </c>
      <c r="F119" s="5" t="n">
        <f aca="false">IF(E119="","",E119-D119)</f>
        <v>0</v>
      </c>
      <c r="G119" s="2" t="s">
        <v>15</v>
      </c>
      <c r="H119" s="2"/>
      <c r="I119" s="2" t="n">
        <v>0</v>
      </c>
      <c r="J119" s="4" t="n">
        <f aca="false">IF(G119="Divergente",ABS(F119),0)</f>
        <v>0</v>
      </c>
    </row>
    <row r="120" customFormat="false" ht="15" hidden="false" customHeight="false" outlineLevel="0" collapsed="false">
      <c r="A120" s="2" t="s">
        <v>141</v>
      </c>
      <c r="B120" s="2" t="s">
        <v>31</v>
      </c>
      <c r="C120" s="3" t="n">
        <v>46210</v>
      </c>
      <c r="D120" s="4" t="n">
        <v>230559.09</v>
      </c>
      <c r="E120" s="4" t="n">
        <v>230559.09</v>
      </c>
      <c r="F120" s="5" t="n">
        <f aca="false">IF(E120="","",E120-D120)</f>
        <v>0</v>
      </c>
      <c r="G120" s="2" t="s">
        <v>15</v>
      </c>
      <c r="H120" s="2"/>
      <c r="I120" s="2" t="n">
        <v>0</v>
      </c>
      <c r="J120" s="4" t="n">
        <f aca="false">IF(G120="Divergente",ABS(F120),0)</f>
        <v>0</v>
      </c>
    </row>
    <row r="121" customFormat="false" ht="15" hidden="false" customHeight="false" outlineLevel="0" collapsed="false">
      <c r="A121" s="2" t="s">
        <v>142</v>
      </c>
      <c r="B121" s="2" t="s">
        <v>31</v>
      </c>
      <c r="C121" s="3" t="n">
        <v>46210</v>
      </c>
      <c r="D121" s="4" t="n">
        <v>186150.46</v>
      </c>
      <c r="E121" s="4"/>
      <c r="F121" s="5" t="str">
        <f aca="false">IF(E121="","",E121-D121)</f>
        <v/>
      </c>
      <c r="G121" s="2" t="s">
        <v>12</v>
      </c>
      <c r="H121" s="2"/>
      <c r="I121" s="2" t="n">
        <v>0</v>
      </c>
      <c r="J121" s="4" t="n">
        <f aca="false">IF(G121="Divergente",ABS(F121),0)</f>
        <v>0</v>
      </c>
    </row>
    <row r="122" customFormat="false" ht="15" hidden="false" customHeight="false" outlineLevel="0" collapsed="false">
      <c r="A122" s="2" t="s">
        <v>143</v>
      </c>
      <c r="B122" s="2" t="s">
        <v>31</v>
      </c>
      <c r="C122" s="3" t="n">
        <v>46210</v>
      </c>
      <c r="D122" s="4" t="n">
        <v>46627.21</v>
      </c>
      <c r="E122" s="4"/>
      <c r="F122" s="5" t="str">
        <f aca="false">IF(E122="","",E122-D122)</f>
        <v/>
      </c>
      <c r="G122" s="2" t="s">
        <v>12</v>
      </c>
      <c r="H122" s="2"/>
      <c r="I122" s="2" t="n">
        <v>0</v>
      </c>
      <c r="J122" s="4" t="n">
        <f aca="false">IF(G122="Divergente",ABS(F122),0)</f>
        <v>0</v>
      </c>
    </row>
    <row r="123" customFormat="false" ht="15" hidden="false" customHeight="false" outlineLevel="0" collapsed="false">
      <c r="A123" s="2" t="s">
        <v>144</v>
      </c>
      <c r="B123" s="2" t="s">
        <v>14</v>
      </c>
      <c r="C123" s="3" t="n">
        <v>46210</v>
      </c>
      <c r="D123" s="4" t="n">
        <v>277972.11</v>
      </c>
      <c r="E123" s="4" t="n">
        <v>277972.11</v>
      </c>
      <c r="F123" s="5" t="n">
        <f aca="false">IF(E123="","",E123-D123)</f>
        <v>0</v>
      </c>
      <c r="G123" s="2" t="s">
        <v>17</v>
      </c>
      <c r="H123" s="2" t="s">
        <v>18</v>
      </c>
      <c r="I123" s="2" t="n">
        <v>3</v>
      </c>
      <c r="J123" s="4" t="n">
        <f aca="false">IF(G123="Divergente",ABS(F123),0)</f>
        <v>0</v>
      </c>
    </row>
    <row r="124" customFormat="false" ht="15" hidden="false" customHeight="false" outlineLevel="0" collapsed="false">
      <c r="A124" s="2" t="s">
        <v>145</v>
      </c>
      <c r="B124" s="2" t="s">
        <v>37</v>
      </c>
      <c r="C124" s="3" t="n">
        <v>46210</v>
      </c>
      <c r="D124" s="4" t="n">
        <v>77826.61</v>
      </c>
      <c r="E124" s="4" t="n">
        <v>77826.61</v>
      </c>
      <c r="F124" s="5" t="n">
        <f aca="false">IF(E124="","",E124-D124)</f>
        <v>0</v>
      </c>
      <c r="G124" s="2" t="s">
        <v>15</v>
      </c>
      <c r="H124" s="2"/>
      <c r="I124" s="2" t="n">
        <v>0</v>
      </c>
      <c r="J124" s="4" t="n">
        <f aca="false">IF(G124="Divergente",ABS(F124),0)</f>
        <v>0</v>
      </c>
    </row>
    <row r="125" customFormat="false" ht="15" hidden="false" customHeight="false" outlineLevel="0" collapsed="false">
      <c r="A125" s="2" t="s">
        <v>146</v>
      </c>
      <c r="B125" s="2" t="s">
        <v>22</v>
      </c>
      <c r="C125" s="3" t="n">
        <v>46211</v>
      </c>
      <c r="D125" s="4" t="n">
        <v>252750.71</v>
      </c>
      <c r="E125" s="4" t="n">
        <v>252750.71</v>
      </c>
      <c r="F125" s="5" t="n">
        <f aca="false">IF(E125="","",E125-D125)</f>
        <v>0</v>
      </c>
      <c r="G125" s="2" t="s">
        <v>15</v>
      </c>
      <c r="H125" s="2"/>
      <c r="I125" s="2" t="n">
        <v>0</v>
      </c>
      <c r="J125" s="4" t="n">
        <f aca="false">IF(G125="Divergente",ABS(F125),0)</f>
        <v>0</v>
      </c>
    </row>
    <row r="126" customFormat="false" ht="15" hidden="false" customHeight="false" outlineLevel="0" collapsed="false">
      <c r="A126" s="2" t="s">
        <v>147</v>
      </c>
      <c r="B126" s="2" t="s">
        <v>37</v>
      </c>
      <c r="C126" s="3" t="n">
        <v>46211</v>
      </c>
      <c r="D126" s="4" t="n">
        <v>466640.58</v>
      </c>
      <c r="E126" s="4" t="n">
        <v>466640.58</v>
      </c>
      <c r="F126" s="5" t="n">
        <f aca="false">IF(E126="","",E126-D126)</f>
        <v>0</v>
      </c>
      <c r="G126" s="2" t="s">
        <v>15</v>
      </c>
      <c r="H126" s="2"/>
      <c r="I126" s="2" t="n">
        <v>0</v>
      </c>
      <c r="J126" s="4" t="n">
        <f aca="false">IF(G126="Divergente",ABS(F126),0)</f>
        <v>0</v>
      </c>
    </row>
    <row r="127" customFormat="false" ht="15" hidden="false" customHeight="false" outlineLevel="0" collapsed="false">
      <c r="A127" s="2" t="s">
        <v>148</v>
      </c>
      <c r="B127" s="2" t="s">
        <v>11</v>
      </c>
      <c r="C127" s="3" t="n">
        <v>46211</v>
      </c>
      <c r="D127" s="4" t="n">
        <v>472098.24</v>
      </c>
      <c r="E127" s="4" t="n">
        <v>472098.24</v>
      </c>
      <c r="F127" s="5" t="n">
        <f aca="false">IF(E127="","",E127-D127)</f>
        <v>0</v>
      </c>
      <c r="G127" s="2" t="s">
        <v>15</v>
      </c>
      <c r="H127" s="2"/>
      <c r="I127" s="2" t="n">
        <v>0</v>
      </c>
      <c r="J127" s="4" t="n">
        <f aca="false">IF(G127="Divergente",ABS(F127),0)</f>
        <v>0</v>
      </c>
    </row>
    <row r="128" customFormat="false" ht="15" hidden="false" customHeight="false" outlineLevel="0" collapsed="false">
      <c r="A128" s="2" t="s">
        <v>149</v>
      </c>
      <c r="B128" s="2" t="s">
        <v>22</v>
      </c>
      <c r="C128" s="3" t="n">
        <v>46211</v>
      </c>
      <c r="D128" s="4" t="n">
        <v>0</v>
      </c>
      <c r="E128" s="4" t="n">
        <v>357979.88</v>
      </c>
      <c r="F128" s="5" t="n">
        <f aca="false">IF(E128="","",E128-D128)</f>
        <v>357979.88</v>
      </c>
      <c r="G128" s="2" t="s">
        <v>17</v>
      </c>
      <c r="H128" s="2" t="s">
        <v>34</v>
      </c>
      <c r="I128" s="2" t="n">
        <v>0</v>
      </c>
      <c r="J128" s="4" t="n">
        <f aca="false">IF(G128="Divergente",ABS(F128),0)</f>
        <v>357979.88</v>
      </c>
    </row>
    <row r="129" customFormat="false" ht="15" hidden="false" customHeight="false" outlineLevel="0" collapsed="false">
      <c r="A129" s="2" t="s">
        <v>150</v>
      </c>
      <c r="B129" s="2" t="s">
        <v>24</v>
      </c>
      <c r="C129" s="3" t="n">
        <v>46211</v>
      </c>
      <c r="D129" s="4" t="n">
        <v>406644.75</v>
      </c>
      <c r="E129" s="4"/>
      <c r="F129" s="5" t="str">
        <f aca="false">IF(E129="","",E129-D129)</f>
        <v/>
      </c>
      <c r="G129" s="2" t="s">
        <v>12</v>
      </c>
      <c r="H129" s="2"/>
      <c r="I129" s="2" t="n">
        <v>0</v>
      </c>
      <c r="J129" s="4" t="n">
        <f aca="false">IF(G129="Divergente",ABS(F129),0)</f>
        <v>0</v>
      </c>
    </row>
    <row r="130" customFormat="false" ht="15" hidden="false" customHeight="false" outlineLevel="0" collapsed="false">
      <c r="A130" s="2" t="s">
        <v>151</v>
      </c>
      <c r="B130" s="2" t="s">
        <v>22</v>
      </c>
      <c r="C130" s="3" t="n">
        <v>46211</v>
      </c>
      <c r="D130" s="4" t="n">
        <v>363400.14</v>
      </c>
      <c r="E130" s="4" t="n">
        <v>363400.14</v>
      </c>
      <c r="F130" s="5" t="n">
        <f aca="false">IF(E130="","",E130-D130)</f>
        <v>0</v>
      </c>
      <c r="G130" s="2" t="s">
        <v>15</v>
      </c>
      <c r="H130" s="2"/>
      <c r="I130" s="2" t="n">
        <v>0</v>
      </c>
      <c r="J130" s="4" t="n">
        <f aca="false">IF(G130="Divergente",ABS(F130),0)</f>
        <v>0</v>
      </c>
    </row>
    <row r="131" customFormat="false" ht="15" hidden="false" customHeight="false" outlineLevel="0" collapsed="false">
      <c r="A131" s="2" t="s">
        <v>152</v>
      </c>
      <c r="B131" s="2" t="s">
        <v>11</v>
      </c>
      <c r="C131" s="3" t="n">
        <v>46211</v>
      </c>
      <c r="D131" s="4" t="n">
        <v>54930.49</v>
      </c>
      <c r="E131" s="4" t="n">
        <v>54930.49</v>
      </c>
      <c r="F131" s="5" t="n">
        <f aca="false">IF(E131="","",E131-D131)</f>
        <v>0</v>
      </c>
      <c r="G131" s="2" t="s">
        <v>15</v>
      </c>
      <c r="H131" s="2"/>
      <c r="I131" s="2" t="n">
        <v>0</v>
      </c>
      <c r="J131" s="4" t="n">
        <f aca="false">IF(G131="Divergente",ABS(F131),0)</f>
        <v>0</v>
      </c>
    </row>
    <row r="132" customFormat="false" ht="15" hidden="false" customHeight="false" outlineLevel="0" collapsed="false">
      <c r="A132" s="2" t="s">
        <v>153</v>
      </c>
      <c r="B132" s="2" t="s">
        <v>14</v>
      </c>
      <c r="C132" s="3" t="n">
        <v>46212</v>
      </c>
      <c r="D132" s="4" t="n">
        <v>331744.48</v>
      </c>
      <c r="E132" s="4" t="n">
        <v>331744.48</v>
      </c>
      <c r="F132" s="5" t="n">
        <f aca="false">IF(E132="","",E132-D132)</f>
        <v>0</v>
      </c>
      <c r="G132" s="2" t="s">
        <v>15</v>
      </c>
      <c r="H132" s="2"/>
      <c r="I132" s="2" t="n">
        <v>0</v>
      </c>
      <c r="J132" s="4" t="n">
        <f aca="false">IF(G132="Divergente",ABS(F132),0)</f>
        <v>0</v>
      </c>
    </row>
    <row r="133" customFormat="false" ht="15" hidden="false" customHeight="false" outlineLevel="0" collapsed="false">
      <c r="A133" s="2" t="s">
        <v>154</v>
      </c>
      <c r="B133" s="2" t="s">
        <v>11</v>
      </c>
      <c r="C133" s="3" t="n">
        <v>46212</v>
      </c>
      <c r="D133" s="4" t="n">
        <v>341708.48</v>
      </c>
      <c r="E133" s="4"/>
      <c r="F133" s="5" t="str">
        <f aca="false">IF(E133="","",E133-D133)</f>
        <v/>
      </c>
      <c r="G133" s="2" t="s">
        <v>12</v>
      </c>
      <c r="H133" s="2"/>
      <c r="I133" s="2" t="n">
        <v>0</v>
      </c>
      <c r="J133" s="4" t="n">
        <f aca="false">IF(G133="Divergente",ABS(F133),0)</f>
        <v>0</v>
      </c>
    </row>
    <row r="134" customFormat="false" ht="15" hidden="false" customHeight="false" outlineLevel="0" collapsed="false">
      <c r="A134" s="2" t="s">
        <v>155</v>
      </c>
      <c r="B134" s="2" t="s">
        <v>11</v>
      </c>
      <c r="C134" s="3" t="n">
        <v>46212</v>
      </c>
      <c r="D134" s="4" t="n">
        <v>100889.82</v>
      </c>
      <c r="E134" s="4" t="n">
        <v>100889.82</v>
      </c>
      <c r="F134" s="5" t="n">
        <f aca="false">IF(E134="","",E134-D134)</f>
        <v>0</v>
      </c>
      <c r="G134" s="2" t="s">
        <v>15</v>
      </c>
      <c r="H134" s="2"/>
      <c r="I134" s="2" t="n">
        <v>0</v>
      </c>
      <c r="J134" s="4" t="n">
        <f aca="false">IF(G134="Divergente",ABS(F134),0)</f>
        <v>0</v>
      </c>
    </row>
    <row r="135" customFormat="false" ht="15" hidden="false" customHeight="false" outlineLevel="0" collapsed="false">
      <c r="A135" s="2" t="s">
        <v>156</v>
      </c>
      <c r="B135" s="2" t="s">
        <v>31</v>
      </c>
      <c r="C135" s="3" t="n">
        <v>46212</v>
      </c>
      <c r="D135" s="4" t="n">
        <v>193863.61</v>
      </c>
      <c r="E135" s="4" t="n">
        <v>193863.61</v>
      </c>
      <c r="F135" s="5" t="n">
        <f aca="false">IF(E135="","",E135-D135)</f>
        <v>0</v>
      </c>
      <c r="G135" s="2" t="s">
        <v>15</v>
      </c>
      <c r="H135" s="2"/>
      <c r="I135" s="2" t="n">
        <v>0</v>
      </c>
      <c r="J135" s="4" t="n">
        <f aca="false">IF(G135="Divergente",ABS(F135),0)</f>
        <v>0</v>
      </c>
    </row>
    <row r="136" customFormat="false" ht="15" hidden="false" customHeight="false" outlineLevel="0" collapsed="false">
      <c r="A136" s="2" t="s">
        <v>157</v>
      </c>
      <c r="B136" s="2" t="s">
        <v>14</v>
      </c>
      <c r="C136" s="3" t="n">
        <v>46212</v>
      </c>
      <c r="D136" s="4" t="n">
        <v>175590.25</v>
      </c>
      <c r="E136" s="4"/>
      <c r="F136" s="5" t="str">
        <f aca="false">IF(E136="","",E136-D136)</f>
        <v/>
      </c>
      <c r="G136" s="2" t="s">
        <v>12</v>
      </c>
      <c r="H136" s="2"/>
      <c r="I136" s="2" t="n">
        <v>0</v>
      </c>
      <c r="J136" s="4" t="n">
        <f aca="false">IF(G136="Divergente",ABS(F136),0)</f>
        <v>0</v>
      </c>
    </row>
    <row r="137" customFormat="false" ht="15" hidden="false" customHeight="false" outlineLevel="0" collapsed="false">
      <c r="A137" s="2" t="s">
        <v>158</v>
      </c>
      <c r="B137" s="2" t="s">
        <v>31</v>
      </c>
      <c r="C137" s="3" t="n">
        <v>46212</v>
      </c>
      <c r="D137" s="4" t="n">
        <v>0</v>
      </c>
      <c r="E137" s="4" t="n">
        <v>128039.64</v>
      </c>
      <c r="F137" s="5" t="n">
        <f aca="false">IF(E137="","",E137-D137)</f>
        <v>128039.64</v>
      </c>
      <c r="G137" s="2" t="s">
        <v>17</v>
      </c>
      <c r="H137" s="2" t="s">
        <v>34</v>
      </c>
      <c r="I137" s="2" t="n">
        <v>0</v>
      </c>
      <c r="J137" s="4" t="n">
        <f aca="false">IF(G137="Divergente",ABS(F137),0)</f>
        <v>128039.64</v>
      </c>
    </row>
    <row r="138" customFormat="false" ht="15" hidden="false" customHeight="false" outlineLevel="0" collapsed="false">
      <c r="A138" s="2" t="s">
        <v>159</v>
      </c>
      <c r="B138" s="2" t="s">
        <v>37</v>
      </c>
      <c r="C138" s="3" t="n">
        <v>46212</v>
      </c>
      <c r="D138" s="4" t="n">
        <v>67750.75</v>
      </c>
      <c r="E138" s="4" t="n">
        <v>67750.75</v>
      </c>
      <c r="F138" s="5" t="n">
        <f aca="false">IF(E138="","",E138-D138)</f>
        <v>0</v>
      </c>
      <c r="G138" s="2" t="s">
        <v>15</v>
      </c>
      <c r="H138" s="2"/>
      <c r="I138" s="2" t="n">
        <v>0</v>
      </c>
      <c r="J138" s="4" t="n">
        <f aca="false">IF(G138="Divergente",ABS(F138),0)</f>
        <v>0</v>
      </c>
    </row>
    <row r="139" customFormat="false" ht="15" hidden="false" customHeight="false" outlineLevel="0" collapsed="false">
      <c r="A139" s="2" t="s">
        <v>160</v>
      </c>
      <c r="B139" s="2" t="s">
        <v>11</v>
      </c>
      <c r="C139" s="3" t="n">
        <v>46213</v>
      </c>
      <c r="D139" s="4" t="n">
        <v>257131.04</v>
      </c>
      <c r="E139" s="4"/>
      <c r="F139" s="5" t="str">
        <f aca="false">IF(E139="","",E139-D139)</f>
        <v/>
      </c>
      <c r="G139" s="2" t="s">
        <v>12</v>
      </c>
      <c r="H139" s="2"/>
      <c r="I139" s="2" t="n">
        <v>0</v>
      </c>
      <c r="J139" s="4" t="n">
        <f aca="false">IF(G139="Divergente",ABS(F139),0)</f>
        <v>0</v>
      </c>
    </row>
    <row r="140" customFormat="false" ht="15" hidden="false" customHeight="false" outlineLevel="0" collapsed="false">
      <c r="A140" s="2" t="s">
        <v>161</v>
      </c>
      <c r="B140" s="2" t="s">
        <v>31</v>
      </c>
      <c r="C140" s="3" t="n">
        <v>46213</v>
      </c>
      <c r="D140" s="4" t="n">
        <v>397669.93</v>
      </c>
      <c r="E140" s="4" t="n">
        <v>390924.09</v>
      </c>
      <c r="F140" s="5" t="n">
        <f aca="false">IF(E140="","",E140-D140)</f>
        <v>-6745.83999999997</v>
      </c>
      <c r="G140" s="2" t="s">
        <v>17</v>
      </c>
      <c r="H140" s="2" t="s">
        <v>28</v>
      </c>
      <c r="I140" s="2" t="n">
        <v>0</v>
      </c>
      <c r="J140" s="4" t="n">
        <f aca="false">IF(G140="Divergente",ABS(F140),0)</f>
        <v>6745.83999999997</v>
      </c>
    </row>
    <row r="141" customFormat="false" ht="15" hidden="false" customHeight="false" outlineLevel="0" collapsed="false">
      <c r="A141" s="2" t="s">
        <v>162</v>
      </c>
      <c r="B141" s="2" t="s">
        <v>31</v>
      </c>
      <c r="C141" s="3" t="n">
        <v>46213</v>
      </c>
      <c r="D141" s="4" t="n">
        <v>166910.05</v>
      </c>
      <c r="E141" s="4" t="n">
        <v>166910.05</v>
      </c>
      <c r="F141" s="5" t="n">
        <f aca="false">IF(E141="","",E141-D141)</f>
        <v>0</v>
      </c>
      <c r="G141" s="2" t="s">
        <v>15</v>
      </c>
      <c r="H141" s="2"/>
      <c r="I141" s="2" t="n">
        <v>0</v>
      </c>
      <c r="J141" s="4" t="n">
        <f aca="false">IF(G141="Divergente",ABS(F141),0)</f>
        <v>0</v>
      </c>
    </row>
    <row r="142" customFormat="false" ht="15" hidden="false" customHeight="false" outlineLevel="0" collapsed="false">
      <c r="A142" s="2" t="s">
        <v>163</v>
      </c>
      <c r="B142" s="2" t="s">
        <v>14</v>
      </c>
      <c r="C142" s="3" t="n">
        <v>46213</v>
      </c>
      <c r="D142" s="4" t="n">
        <v>460936.73</v>
      </c>
      <c r="E142" s="4" t="n">
        <v>460936.73</v>
      </c>
      <c r="F142" s="5" t="n">
        <f aca="false">IF(E142="","",E142-D142)</f>
        <v>0</v>
      </c>
      <c r="G142" s="2" t="s">
        <v>15</v>
      </c>
      <c r="H142" s="2"/>
      <c r="I142" s="2" t="n">
        <v>0</v>
      </c>
      <c r="J142" s="4" t="n">
        <f aca="false">IF(G142="Divergente",ABS(F142),0)</f>
        <v>0</v>
      </c>
    </row>
    <row r="143" customFormat="false" ht="15" hidden="false" customHeight="false" outlineLevel="0" collapsed="false">
      <c r="A143" s="2" t="s">
        <v>164</v>
      </c>
      <c r="B143" s="2" t="s">
        <v>11</v>
      </c>
      <c r="C143" s="3" t="n">
        <v>46213</v>
      </c>
      <c r="D143" s="4" t="n">
        <v>325894.65</v>
      </c>
      <c r="E143" s="4" t="n">
        <v>325894.65</v>
      </c>
      <c r="F143" s="5" t="n">
        <f aca="false">IF(E143="","",E143-D143)</f>
        <v>0</v>
      </c>
      <c r="G143" s="2" t="s">
        <v>15</v>
      </c>
      <c r="H143" s="2"/>
      <c r="I143" s="2" t="n">
        <v>0</v>
      </c>
      <c r="J143" s="4" t="n">
        <f aca="false">IF(G143="Divergente",ABS(F143),0)</f>
        <v>0</v>
      </c>
    </row>
    <row r="144" customFormat="false" ht="15" hidden="false" customHeight="false" outlineLevel="0" collapsed="false">
      <c r="A144" s="2" t="s">
        <v>165</v>
      </c>
      <c r="B144" s="2" t="s">
        <v>37</v>
      </c>
      <c r="C144" s="3" t="n">
        <v>46214</v>
      </c>
      <c r="D144" s="4" t="n">
        <v>373940.11</v>
      </c>
      <c r="E144" s="4" t="n">
        <v>373940.11</v>
      </c>
      <c r="F144" s="5" t="n">
        <f aca="false">IF(E144="","",E144-D144)</f>
        <v>0</v>
      </c>
      <c r="G144" s="2" t="s">
        <v>15</v>
      </c>
      <c r="H144" s="2"/>
      <c r="I144" s="2" t="n">
        <v>0</v>
      </c>
      <c r="J144" s="4" t="n">
        <f aca="false">IF(G144="Divergente",ABS(F144),0)</f>
        <v>0</v>
      </c>
    </row>
    <row r="145" customFormat="false" ht="15" hidden="false" customHeight="false" outlineLevel="0" collapsed="false">
      <c r="A145" s="2" t="s">
        <v>166</v>
      </c>
      <c r="B145" s="2" t="s">
        <v>37</v>
      </c>
      <c r="C145" s="3" t="n">
        <v>46214</v>
      </c>
      <c r="D145" s="4" t="n">
        <v>97258.42</v>
      </c>
      <c r="E145" s="4" t="n">
        <v>97258.42</v>
      </c>
      <c r="F145" s="5" t="n">
        <f aca="false">IF(E145="","",E145-D145)</f>
        <v>0</v>
      </c>
      <c r="G145" s="2" t="s">
        <v>15</v>
      </c>
      <c r="H145" s="2"/>
      <c r="I145" s="2" t="n">
        <v>0</v>
      </c>
      <c r="J145" s="4" t="n">
        <f aca="false">IF(G145="Divergente",ABS(F145),0)</f>
        <v>0</v>
      </c>
    </row>
    <row r="146" customFormat="false" ht="15" hidden="false" customHeight="false" outlineLevel="0" collapsed="false">
      <c r="A146" s="2" t="s">
        <v>167</v>
      </c>
      <c r="B146" s="2" t="s">
        <v>22</v>
      </c>
      <c r="C146" s="3" t="n">
        <v>46214</v>
      </c>
      <c r="D146" s="4" t="n">
        <v>95138.5</v>
      </c>
      <c r="E146" s="4" t="n">
        <v>95138.5</v>
      </c>
      <c r="F146" s="5" t="n">
        <f aca="false">IF(E146="","",E146-D146)</f>
        <v>0</v>
      </c>
      <c r="G146" s="2" t="s">
        <v>15</v>
      </c>
      <c r="H146" s="2"/>
      <c r="I146" s="2" t="n">
        <v>0</v>
      </c>
      <c r="J146" s="4" t="n">
        <f aca="false">IF(G146="Divergente",ABS(F146),0)</f>
        <v>0</v>
      </c>
    </row>
    <row r="147" customFormat="false" ht="15" hidden="false" customHeight="false" outlineLevel="0" collapsed="false">
      <c r="A147" s="2" t="s">
        <v>168</v>
      </c>
      <c r="B147" s="2" t="s">
        <v>22</v>
      </c>
      <c r="C147" s="3" t="n">
        <v>46214</v>
      </c>
      <c r="D147" s="4" t="n">
        <v>431374.06</v>
      </c>
      <c r="E147" s="4" t="n">
        <v>431374.06</v>
      </c>
      <c r="F147" s="5" t="n">
        <f aca="false">IF(E147="","",E147-D147)</f>
        <v>0</v>
      </c>
      <c r="G147" s="2" t="s">
        <v>15</v>
      </c>
      <c r="H147" s="2"/>
      <c r="I147" s="2" t="n">
        <v>0</v>
      </c>
      <c r="J147" s="4" t="n">
        <f aca="false">IF(G147="Divergente",ABS(F147),0)</f>
        <v>0</v>
      </c>
    </row>
    <row r="148" customFormat="false" ht="15" hidden="false" customHeight="false" outlineLevel="0" collapsed="false">
      <c r="A148" s="2" t="s">
        <v>169</v>
      </c>
      <c r="B148" s="2" t="s">
        <v>22</v>
      </c>
      <c r="C148" s="3" t="n">
        <v>46214</v>
      </c>
      <c r="D148" s="4" t="n">
        <v>345473.98</v>
      </c>
      <c r="E148" s="4" t="n">
        <v>345473.98</v>
      </c>
      <c r="F148" s="5" t="n">
        <f aca="false">IF(E148="","",E148-D148)</f>
        <v>0</v>
      </c>
      <c r="G148" s="2" t="s">
        <v>15</v>
      </c>
      <c r="H148" s="2"/>
      <c r="I148" s="2" t="n">
        <v>0</v>
      </c>
      <c r="J148" s="4" t="n">
        <f aca="false">IF(G148="Divergente",ABS(F148),0)</f>
        <v>0</v>
      </c>
    </row>
    <row r="149" customFormat="false" ht="15" hidden="false" customHeight="false" outlineLevel="0" collapsed="false">
      <c r="A149" s="2" t="s">
        <v>170</v>
      </c>
      <c r="B149" s="2" t="s">
        <v>14</v>
      </c>
      <c r="C149" s="3" t="n">
        <v>46214</v>
      </c>
      <c r="D149" s="4" t="n">
        <v>368790.22</v>
      </c>
      <c r="E149" s="4" t="n">
        <v>368790.22</v>
      </c>
      <c r="F149" s="5" t="n">
        <f aca="false">IF(E149="","",E149-D149)</f>
        <v>0</v>
      </c>
      <c r="G149" s="2" t="s">
        <v>15</v>
      </c>
      <c r="H149" s="2"/>
      <c r="I149" s="2" t="n">
        <v>0</v>
      </c>
      <c r="J149" s="4" t="n">
        <f aca="false">IF(G149="Divergente",ABS(F149),0)</f>
        <v>0</v>
      </c>
    </row>
    <row r="150" customFormat="false" ht="15" hidden="false" customHeight="false" outlineLevel="0" collapsed="false">
      <c r="A150" s="2" t="s">
        <v>171</v>
      </c>
      <c r="B150" s="2" t="s">
        <v>24</v>
      </c>
      <c r="C150" s="3" t="n">
        <v>46214</v>
      </c>
      <c r="D150" s="4" t="n">
        <v>401884.1</v>
      </c>
      <c r="E150" s="4" t="n">
        <v>401884.1</v>
      </c>
      <c r="F150" s="5" t="n">
        <f aca="false">IF(E150="","",E150-D150)</f>
        <v>0</v>
      </c>
      <c r="G150" s="2" t="s">
        <v>15</v>
      </c>
      <c r="H150" s="2"/>
      <c r="I150" s="2" t="n">
        <v>0</v>
      </c>
      <c r="J150" s="4" t="n">
        <f aca="false">IF(G150="Divergente",ABS(F150),0)</f>
        <v>0</v>
      </c>
    </row>
    <row r="151" customFormat="false" ht="15" hidden="false" customHeight="false" outlineLevel="0" collapsed="false">
      <c r="A151" s="2" t="s">
        <v>172</v>
      </c>
      <c r="B151" s="2" t="s">
        <v>22</v>
      </c>
      <c r="C151" s="3" t="n">
        <v>46214</v>
      </c>
      <c r="D151" s="4" t="n">
        <v>337302.92</v>
      </c>
      <c r="E151" s="4" t="n">
        <v>337302.92</v>
      </c>
      <c r="F151" s="5" t="n">
        <f aca="false">IF(E151="","",E151-D151)</f>
        <v>0</v>
      </c>
      <c r="G151" s="2" t="s">
        <v>15</v>
      </c>
      <c r="H151" s="2"/>
      <c r="I151" s="2" t="n">
        <v>0</v>
      </c>
      <c r="J151" s="4" t="n">
        <f aca="false">IF(G151="Divergente",ABS(F151),0)</f>
        <v>0</v>
      </c>
    </row>
    <row r="152" customFormat="false" ht="15" hidden="false" customHeight="false" outlineLevel="0" collapsed="false">
      <c r="A152" s="2" t="s">
        <v>173</v>
      </c>
      <c r="B152" s="2" t="s">
        <v>24</v>
      </c>
      <c r="C152" s="3" t="n">
        <v>46215</v>
      </c>
      <c r="D152" s="4" t="n">
        <v>0</v>
      </c>
      <c r="E152" s="4" t="n">
        <v>44022.24</v>
      </c>
      <c r="F152" s="5" t="n">
        <f aca="false">IF(E152="","",E152-D152)</f>
        <v>44022.24</v>
      </c>
      <c r="G152" s="2" t="s">
        <v>17</v>
      </c>
      <c r="H152" s="2" t="s">
        <v>34</v>
      </c>
      <c r="I152" s="2" t="n">
        <v>0</v>
      </c>
      <c r="J152" s="4" t="n">
        <f aca="false">IF(G152="Divergente",ABS(F152),0)</f>
        <v>44022.24</v>
      </c>
    </row>
    <row r="153" customFormat="false" ht="15" hidden="false" customHeight="false" outlineLevel="0" collapsed="false">
      <c r="A153" s="2" t="s">
        <v>174</v>
      </c>
      <c r="B153" s="2" t="s">
        <v>24</v>
      </c>
      <c r="C153" s="3" t="n">
        <v>46215</v>
      </c>
      <c r="D153" s="4" t="n">
        <v>199478.22</v>
      </c>
      <c r="E153" s="4" t="n">
        <v>199478.22</v>
      </c>
      <c r="F153" s="5" t="n">
        <f aca="false">IF(E153="","",E153-D153)</f>
        <v>0</v>
      </c>
      <c r="G153" s="2" t="s">
        <v>15</v>
      </c>
      <c r="H153" s="2"/>
      <c r="I153" s="2" t="n">
        <v>0</v>
      </c>
      <c r="J153" s="4" t="n">
        <f aca="false">IF(G153="Divergente",ABS(F153),0)</f>
        <v>0</v>
      </c>
    </row>
    <row r="154" customFormat="false" ht="15" hidden="false" customHeight="false" outlineLevel="0" collapsed="false">
      <c r="A154" s="2" t="s">
        <v>175</v>
      </c>
      <c r="B154" s="2" t="s">
        <v>24</v>
      </c>
      <c r="C154" s="3" t="n">
        <v>46215</v>
      </c>
      <c r="D154" s="4" t="n">
        <v>312495.2</v>
      </c>
      <c r="E154" s="4" t="n">
        <v>312495.2</v>
      </c>
      <c r="F154" s="5" t="n">
        <f aca="false">IF(E154="","",E154-D154)</f>
        <v>0</v>
      </c>
      <c r="G154" s="2" t="s">
        <v>15</v>
      </c>
      <c r="H154" s="2"/>
      <c r="I154" s="2" t="n">
        <v>0</v>
      </c>
      <c r="J154" s="4" t="n">
        <f aca="false">IF(G154="Divergente",ABS(F154),0)</f>
        <v>0</v>
      </c>
    </row>
    <row r="155" customFormat="false" ht="15" hidden="false" customHeight="false" outlineLevel="0" collapsed="false">
      <c r="A155" s="2" t="s">
        <v>176</v>
      </c>
      <c r="B155" s="2" t="s">
        <v>22</v>
      </c>
      <c r="C155" s="3" t="n">
        <v>46215</v>
      </c>
      <c r="D155" s="4" t="n">
        <v>140051.86</v>
      </c>
      <c r="E155" s="4" t="n">
        <v>140051.86</v>
      </c>
      <c r="F155" s="5" t="n">
        <f aca="false">IF(E155="","",E155-D155)</f>
        <v>0</v>
      </c>
      <c r="G155" s="2" t="s">
        <v>15</v>
      </c>
      <c r="H155" s="2"/>
      <c r="I155" s="2" t="n">
        <v>0</v>
      </c>
      <c r="J155" s="4" t="n">
        <f aca="false">IF(G155="Divergente",ABS(F155),0)</f>
        <v>0</v>
      </c>
    </row>
    <row r="156" customFormat="false" ht="15" hidden="false" customHeight="false" outlineLevel="0" collapsed="false">
      <c r="A156" s="2" t="s">
        <v>177</v>
      </c>
      <c r="B156" s="2" t="s">
        <v>37</v>
      </c>
      <c r="C156" s="3" t="n">
        <v>46215</v>
      </c>
      <c r="D156" s="4" t="n">
        <v>388963.9</v>
      </c>
      <c r="E156" s="4" t="n">
        <v>388963.9</v>
      </c>
      <c r="F156" s="5" t="n">
        <f aca="false">IF(E156="","",E156-D156)</f>
        <v>0</v>
      </c>
      <c r="G156" s="2" t="s">
        <v>15</v>
      </c>
      <c r="H156" s="2"/>
      <c r="I156" s="2" t="n">
        <v>0</v>
      </c>
      <c r="J156" s="4" t="n">
        <f aca="false">IF(G156="Divergente",ABS(F156),0)</f>
        <v>0</v>
      </c>
    </row>
    <row r="157" customFormat="false" ht="15" hidden="false" customHeight="false" outlineLevel="0" collapsed="false">
      <c r="A157" s="2" t="s">
        <v>178</v>
      </c>
      <c r="B157" s="2" t="s">
        <v>14</v>
      </c>
      <c r="C157" s="3" t="n">
        <v>46216</v>
      </c>
      <c r="D157" s="4" t="n">
        <v>71373.87</v>
      </c>
      <c r="E157" s="4" t="n">
        <v>71373.87</v>
      </c>
      <c r="F157" s="5" t="n">
        <f aca="false">IF(E157="","",E157-D157)</f>
        <v>0</v>
      </c>
      <c r="G157" s="2" t="s">
        <v>15</v>
      </c>
      <c r="H157" s="2"/>
      <c r="I157" s="2" t="n">
        <v>0</v>
      </c>
      <c r="J157" s="4" t="n">
        <f aca="false">IF(G157="Divergente",ABS(F157),0)</f>
        <v>0</v>
      </c>
    </row>
    <row r="158" customFormat="false" ht="15" hidden="false" customHeight="false" outlineLevel="0" collapsed="false">
      <c r="A158" s="2" t="s">
        <v>179</v>
      </c>
      <c r="B158" s="2" t="s">
        <v>22</v>
      </c>
      <c r="C158" s="3" t="n">
        <v>46216</v>
      </c>
      <c r="D158" s="4" t="n">
        <v>361554.75</v>
      </c>
      <c r="E158" s="4" t="n">
        <v>361554.75</v>
      </c>
      <c r="F158" s="5" t="n">
        <f aca="false">IF(E158="","",E158-D158)</f>
        <v>0</v>
      </c>
      <c r="G158" s="2" t="s">
        <v>15</v>
      </c>
      <c r="H158" s="2"/>
      <c r="I158" s="2" t="n">
        <v>0</v>
      </c>
      <c r="J158" s="4" t="n">
        <f aca="false">IF(G158="Divergente",ABS(F158),0)</f>
        <v>0</v>
      </c>
    </row>
    <row r="159" customFormat="false" ht="15" hidden="false" customHeight="false" outlineLevel="0" collapsed="false">
      <c r="A159" s="2" t="s">
        <v>180</v>
      </c>
      <c r="B159" s="2" t="s">
        <v>24</v>
      </c>
      <c r="C159" s="3" t="n">
        <v>46216</v>
      </c>
      <c r="D159" s="4" t="n">
        <v>410760.13</v>
      </c>
      <c r="E159" s="4" t="n">
        <v>410760.13</v>
      </c>
      <c r="F159" s="5" t="n">
        <f aca="false">IF(E159="","",E159-D159)</f>
        <v>0</v>
      </c>
      <c r="G159" s="2" t="s">
        <v>15</v>
      </c>
      <c r="H159" s="2"/>
      <c r="I159" s="2" t="n">
        <v>0</v>
      </c>
      <c r="J159" s="4" t="n">
        <f aca="false">IF(G159="Divergente",ABS(F159),0)</f>
        <v>0</v>
      </c>
    </row>
    <row r="160" customFormat="false" ht="15" hidden="false" customHeight="false" outlineLevel="0" collapsed="false">
      <c r="A160" s="2" t="s">
        <v>181</v>
      </c>
      <c r="B160" s="2" t="s">
        <v>11</v>
      </c>
      <c r="C160" s="3" t="n">
        <v>46216</v>
      </c>
      <c r="D160" s="4" t="n">
        <v>133831.26</v>
      </c>
      <c r="E160" s="4" t="n">
        <v>133831.26</v>
      </c>
      <c r="F160" s="5" t="n">
        <f aca="false">IF(E160="","",E160-D160)</f>
        <v>0</v>
      </c>
      <c r="G160" s="2" t="s">
        <v>15</v>
      </c>
      <c r="H160" s="2"/>
      <c r="I160" s="2" t="n">
        <v>0</v>
      </c>
      <c r="J160" s="4" t="n">
        <f aca="false">IF(G160="Divergente",ABS(F160),0)</f>
        <v>0</v>
      </c>
    </row>
    <row r="161" customFormat="false" ht="15" hidden="false" customHeight="false" outlineLevel="0" collapsed="false">
      <c r="A161" s="2" t="s">
        <v>182</v>
      </c>
      <c r="B161" s="2" t="s">
        <v>37</v>
      </c>
      <c r="C161" s="3" t="n">
        <v>46216</v>
      </c>
      <c r="D161" s="4" t="n">
        <v>252276.95</v>
      </c>
      <c r="E161" s="4" t="n">
        <v>252276.95</v>
      </c>
      <c r="F161" s="5" t="n">
        <f aca="false">IF(E161="","",E161-D161)</f>
        <v>0</v>
      </c>
      <c r="G161" s="2" t="s">
        <v>15</v>
      </c>
      <c r="H161" s="2"/>
      <c r="I161" s="2" t="n">
        <v>0</v>
      </c>
      <c r="J161" s="4" t="n">
        <f aca="false">IF(G161="Divergente",ABS(F161),0)</f>
        <v>0</v>
      </c>
    </row>
    <row r="162" customFormat="false" ht="15" hidden="false" customHeight="false" outlineLevel="0" collapsed="false">
      <c r="A162" s="2" t="s">
        <v>183</v>
      </c>
      <c r="B162" s="2" t="s">
        <v>37</v>
      </c>
      <c r="C162" s="3" t="n">
        <v>46216</v>
      </c>
      <c r="D162" s="4" t="n">
        <v>439710</v>
      </c>
      <c r="E162" s="4" t="n">
        <v>439710</v>
      </c>
      <c r="F162" s="5" t="n">
        <f aca="false">IF(E162="","",E162-D162)</f>
        <v>0</v>
      </c>
      <c r="G162" s="2" t="s">
        <v>15</v>
      </c>
      <c r="H162" s="2"/>
      <c r="I162" s="2" t="n">
        <v>0</v>
      </c>
      <c r="J162" s="4" t="n">
        <f aca="false">IF(G162="Divergente",ABS(F162),0)</f>
        <v>0</v>
      </c>
    </row>
    <row r="163" customFormat="false" ht="15" hidden="false" customHeight="false" outlineLevel="0" collapsed="false">
      <c r="A163" s="2" t="s">
        <v>184</v>
      </c>
      <c r="B163" s="2" t="s">
        <v>24</v>
      </c>
      <c r="C163" s="3" t="n">
        <v>46216</v>
      </c>
      <c r="D163" s="4" t="n">
        <v>307638.31</v>
      </c>
      <c r="E163" s="4" t="n">
        <v>307638.31</v>
      </c>
      <c r="F163" s="5" t="n">
        <f aca="false">IF(E163="","",E163-D163)</f>
        <v>0</v>
      </c>
      <c r="G163" s="2" t="s">
        <v>15</v>
      </c>
      <c r="H163" s="2"/>
      <c r="I163" s="2" t="n">
        <v>0</v>
      </c>
      <c r="J163" s="4" t="n">
        <f aca="false">IF(G163="Divergente",ABS(F163),0)</f>
        <v>0</v>
      </c>
    </row>
    <row r="164" customFormat="false" ht="15" hidden="false" customHeight="false" outlineLevel="0" collapsed="false">
      <c r="A164" s="2" t="s">
        <v>185</v>
      </c>
      <c r="B164" s="2" t="s">
        <v>24</v>
      </c>
      <c r="C164" s="3" t="n">
        <v>46216</v>
      </c>
      <c r="D164" s="4" t="n">
        <v>299867.37</v>
      </c>
      <c r="E164" s="4" t="n">
        <v>299867.37</v>
      </c>
      <c r="F164" s="5" t="n">
        <f aca="false">IF(E164="","",E164-D164)</f>
        <v>0</v>
      </c>
      <c r="G164" s="2" t="s">
        <v>15</v>
      </c>
      <c r="H164" s="2"/>
      <c r="I164" s="2" t="n">
        <v>0</v>
      </c>
      <c r="J164" s="4" t="n">
        <f aca="false">IF(G164="Divergente",ABS(F164),0)</f>
        <v>0</v>
      </c>
    </row>
    <row r="165" customFormat="false" ht="15" hidden="false" customHeight="false" outlineLevel="0" collapsed="false">
      <c r="A165" s="2" t="s">
        <v>186</v>
      </c>
      <c r="B165" s="2" t="s">
        <v>14</v>
      </c>
      <c r="C165" s="3" t="n">
        <v>46217</v>
      </c>
      <c r="D165" s="4" t="n">
        <v>285492.76</v>
      </c>
      <c r="E165" s="4"/>
      <c r="F165" s="5" t="str">
        <f aca="false">IF(E165="","",E165-D165)</f>
        <v/>
      </c>
      <c r="G165" s="2" t="s">
        <v>12</v>
      </c>
      <c r="H165" s="2"/>
      <c r="I165" s="2" t="n">
        <v>0</v>
      </c>
      <c r="J165" s="4" t="n">
        <f aca="false">IF(G165="Divergente",ABS(F165),0)</f>
        <v>0</v>
      </c>
    </row>
    <row r="166" customFormat="false" ht="15" hidden="false" customHeight="false" outlineLevel="0" collapsed="false">
      <c r="A166" s="2" t="s">
        <v>187</v>
      </c>
      <c r="B166" s="2" t="s">
        <v>24</v>
      </c>
      <c r="C166" s="3" t="n">
        <v>46217</v>
      </c>
      <c r="D166" s="4" t="n">
        <v>248609.12</v>
      </c>
      <c r="E166" s="4" t="n">
        <v>248609.12</v>
      </c>
      <c r="F166" s="5" t="n">
        <f aca="false">IF(E166="","",E166-D166)</f>
        <v>0</v>
      </c>
      <c r="G166" s="2" t="s">
        <v>15</v>
      </c>
      <c r="H166" s="2"/>
      <c r="I166" s="2" t="n">
        <v>0</v>
      </c>
      <c r="J166" s="4" t="n">
        <f aca="false">IF(G166="Divergente",ABS(F166),0)</f>
        <v>0</v>
      </c>
    </row>
    <row r="167" customFormat="false" ht="15" hidden="false" customHeight="false" outlineLevel="0" collapsed="false">
      <c r="A167" s="2" t="s">
        <v>188</v>
      </c>
      <c r="B167" s="2" t="s">
        <v>24</v>
      </c>
      <c r="C167" s="3" t="n">
        <v>46217</v>
      </c>
      <c r="D167" s="4" t="n">
        <v>341483.33</v>
      </c>
      <c r="E167" s="4" t="n">
        <v>341483.33</v>
      </c>
      <c r="F167" s="5" t="n">
        <f aca="false">IF(E167="","",E167-D167)</f>
        <v>0</v>
      </c>
      <c r="G167" s="2" t="s">
        <v>15</v>
      </c>
      <c r="H167" s="2"/>
      <c r="I167" s="2" t="n">
        <v>0</v>
      </c>
      <c r="J167" s="4" t="n">
        <f aca="false">IF(G167="Divergente",ABS(F167),0)</f>
        <v>0</v>
      </c>
    </row>
    <row r="168" customFormat="false" ht="15" hidden="false" customHeight="false" outlineLevel="0" collapsed="false">
      <c r="A168" s="2" t="s">
        <v>189</v>
      </c>
      <c r="B168" s="2" t="s">
        <v>31</v>
      </c>
      <c r="C168" s="3" t="n">
        <v>46217</v>
      </c>
      <c r="D168" s="4" t="n">
        <v>348991.91</v>
      </c>
      <c r="E168" s="4" t="n">
        <v>348991.91</v>
      </c>
      <c r="F168" s="5" t="n">
        <f aca="false">IF(E168="","",E168-D168)</f>
        <v>0</v>
      </c>
      <c r="G168" s="2" t="s">
        <v>15</v>
      </c>
      <c r="H168" s="2"/>
      <c r="I168" s="2" t="n">
        <v>0</v>
      </c>
      <c r="J168" s="4" t="n">
        <f aca="false">IF(G168="Divergente",ABS(F168),0)</f>
        <v>0</v>
      </c>
    </row>
    <row r="169" customFormat="false" ht="15" hidden="false" customHeight="false" outlineLevel="0" collapsed="false">
      <c r="A169" s="2" t="s">
        <v>190</v>
      </c>
      <c r="B169" s="2" t="s">
        <v>37</v>
      </c>
      <c r="C169" s="3" t="n">
        <v>46217</v>
      </c>
      <c r="D169" s="4" t="n">
        <v>239852.62</v>
      </c>
      <c r="E169" s="4" t="n">
        <v>479705.24</v>
      </c>
      <c r="F169" s="5" t="n">
        <f aca="false">IF(E169="","",E169-D169)</f>
        <v>239852.62</v>
      </c>
      <c r="G169" s="2" t="s">
        <v>17</v>
      </c>
      <c r="H169" s="2" t="s">
        <v>54</v>
      </c>
      <c r="I169" s="2" t="n">
        <v>0</v>
      </c>
      <c r="J169" s="4" t="n">
        <f aca="false">IF(G169="Divergente",ABS(F169),0)</f>
        <v>239852.62</v>
      </c>
    </row>
    <row r="170" customFormat="false" ht="15" hidden="false" customHeight="false" outlineLevel="0" collapsed="false">
      <c r="A170" s="2" t="s">
        <v>191</v>
      </c>
      <c r="B170" s="2" t="s">
        <v>31</v>
      </c>
      <c r="C170" s="3" t="n">
        <v>46217</v>
      </c>
      <c r="D170" s="4" t="n">
        <v>470156.58</v>
      </c>
      <c r="E170" s="4" t="n">
        <v>470156.58</v>
      </c>
      <c r="F170" s="5" t="n">
        <f aca="false">IF(E170="","",E170-D170)</f>
        <v>0</v>
      </c>
      <c r="G170" s="2" t="s">
        <v>15</v>
      </c>
      <c r="H170" s="2"/>
      <c r="I170" s="2" t="n">
        <v>0</v>
      </c>
      <c r="J170" s="4" t="n">
        <f aca="false">IF(G170="Divergente",ABS(F170),0)</f>
        <v>0</v>
      </c>
    </row>
    <row r="171" customFormat="false" ht="15" hidden="false" customHeight="false" outlineLevel="0" collapsed="false">
      <c r="A171" s="2" t="s">
        <v>192</v>
      </c>
      <c r="B171" s="2" t="s">
        <v>31</v>
      </c>
      <c r="C171" s="3" t="n">
        <v>46218</v>
      </c>
      <c r="D171" s="4" t="n">
        <v>236536.87</v>
      </c>
      <c r="E171" s="4" t="n">
        <v>236536.87</v>
      </c>
      <c r="F171" s="5" t="n">
        <f aca="false">IF(E171="","",E171-D171)</f>
        <v>0</v>
      </c>
      <c r="G171" s="2" t="s">
        <v>15</v>
      </c>
      <c r="H171" s="2"/>
      <c r="I171" s="2" t="n">
        <v>0</v>
      </c>
      <c r="J171" s="4" t="n">
        <f aca="false">IF(G171="Divergente",ABS(F171),0)</f>
        <v>0</v>
      </c>
    </row>
    <row r="172" customFormat="false" ht="15" hidden="false" customHeight="false" outlineLevel="0" collapsed="false">
      <c r="A172" s="2" t="s">
        <v>193</v>
      </c>
      <c r="B172" s="2" t="s">
        <v>37</v>
      </c>
      <c r="C172" s="3" t="n">
        <v>46218</v>
      </c>
      <c r="D172" s="4" t="n">
        <v>477285.13</v>
      </c>
      <c r="E172" s="4" t="n">
        <v>477285.13</v>
      </c>
      <c r="F172" s="5" t="n">
        <f aca="false">IF(E172="","",E172-D172)</f>
        <v>0</v>
      </c>
      <c r="G172" s="2" t="s">
        <v>15</v>
      </c>
      <c r="H172" s="2"/>
      <c r="I172" s="2" t="n">
        <v>0</v>
      </c>
      <c r="J172" s="4" t="n">
        <f aca="false">IF(G172="Divergente",ABS(F172),0)</f>
        <v>0</v>
      </c>
    </row>
    <row r="173" customFormat="false" ht="15" hidden="false" customHeight="false" outlineLevel="0" collapsed="false">
      <c r="A173" s="2" t="s">
        <v>194</v>
      </c>
      <c r="B173" s="2" t="s">
        <v>11</v>
      </c>
      <c r="C173" s="3" t="n">
        <v>46218</v>
      </c>
      <c r="D173" s="4" t="n">
        <v>0</v>
      </c>
      <c r="E173" s="4" t="n">
        <v>63575.79</v>
      </c>
      <c r="F173" s="5" t="n">
        <f aca="false">IF(E173="","",E173-D173)</f>
        <v>63575.79</v>
      </c>
      <c r="G173" s="2" t="s">
        <v>17</v>
      </c>
      <c r="H173" s="2" t="s">
        <v>34</v>
      </c>
      <c r="I173" s="2" t="n">
        <v>0</v>
      </c>
      <c r="J173" s="4" t="n">
        <f aca="false">IF(G173="Divergente",ABS(F173),0)</f>
        <v>63575.79</v>
      </c>
    </row>
    <row r="174" customFormat="false" ht="15" hidden="false" customHeight="false" outlineLevel="0" collapsed="false">
      <c r="A174" s="2" t="s">
        <v>195</v>
      </c>
      <c r="B174" s="2" t="s">
        <v>31</v>
      </c>
      <c r="C174" s="3" t="n">
        <v>46218</v>
      </c>
      <c r="D174" s="4" t="n">
        <v>89672.28</v>
      </c>
      <c r="E174" s="4" t="n">
        <v>89672.28</v>
      </c>
      <c r="F174" s="5" t="n">
        <f aca="false">IF(E174="","",E174-D174)</f>
        <v>0</v>
      </c>
      <c r="G174" s="2" t="s">
        <v>15</v>
      </c>
      <c r="H174" s="2"/>
      <c r="I174" s="2" t="n">
        <v>0</v>
      </c>
      <c r="J174" s="4" t="n">
        <f aca="false">IF(G174="Divergente",ABS(F174),0)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6" t="s">
        <v>196</v>
      </c>
      <c r="B1" s="6"/>
    </row>
    <row r="3" customFormat="false" ht="15" hidden="false" customHeight="false" outlineLevel="0" collapsed="false">
      <c r="A3" s="7" t="s">
        <v>197</v>
      </c>
      <c r="B3" s="8" t="n">
        <f aca="false">COUNTA('Notas Fiscais'!A2:A174)</f>
        <v>173</v>
      </c>
    </row>
    <row r="4" customFormat="false" ht="15" hidden="false" customHeight="false" outlineLevel="0" collapsed="false">
      <c r="A4" s="7" t="s">
        <v>198</v>
      </c>
      <c r="B4" s="8" t="n">
        <f aca="false">COUNTIF('Notas Fiscais'!G2:G174,"Conciliado")</f>
        <v>132</v>
      </c>
    </row>
    <row r="5" customFormat="false" ht="15" hidden="false" customHeight="false" outlineLevel="0" collapsed="false">
      <c r="A5" s="7" t="s">
        <v>199</v>
      </c>
      <c r="B5" s="8" t="n">
        <f aca="false">COUNTIF('Notas Fiscais'!G2:G174,"Divergente")</f>
        <v>31</v>
      </c>
    </row>
    <row r="6" customFormat="false" ht="15" hidden="false" customHeight="false" outlineLevel="0" collapsed="false">
      <c r="A6" s="7" t="s">
        <v>200</v>
      </c>
      <c r="B6" s="8" t="n">
        <f aca="false">COUNTIF('Notas Fiscais'!G2:G174,"Pendente")</f>
        <v>10</v>
      </c>
    </row>
    <row r="7" customFormat="false" ht="15" hidden="false" customHeight="false" outlineLevel="0" collapsed="false">
      <c r="A7" s="7" t="s">
        <v>201</v>
      </c>
      <c r="B7" s="9" t="n">
        <f aca="false">B4/B3</f>
        <v>0.763005780346821</v>
      </c>
    </row>
    <row r="8" customFormat="false" ht="15" hidden="false" customHeight="false" outlineLevel="0" collapsed="false">
      <c r="A8" s="7" t="s">
        <v>202</v>
      </c>
      <c r="B8" s="10" t="n">
        <f aca="false">SUM('Notas Fiscais'!J2:J174)</f>
        <v>4294876.85</v>
      </c>
    </row>
    <row r="9" customFormat="false" ht="15" hidden="false" customHeight="false" outlineLevel="0" collapsed="false">
      <c r="A9" s="7" t="s">
        <v>203</v>
      </c>
      <c r="B9" s="11" t="n">
        <f aca="false">IFERROR(AVERAGEIF('Notas Fiscais'!I2:I174,"&gt;0"),0)</f>
        <v>3.55555555555556</v>
      </c>
    </row>
    <row r="10" customFormat="false" ht="15" hidden="false" customHeight="false" outlineLevel="0" collapsed="false">
      <c r="A10" s="12" t="s">
        <v>204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2026-07-15T18:58:27Z</dcterms:created>
  <dc:creator>openpyxl</dc:creator>
  <dc:description/>
  <dc:language>en-US</dc:language>
  <cp:lastModifiedBy/>
  <dcterms:modified xsi:type="dcterms:W3CDTF">2026-07-15T18:58:27Z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